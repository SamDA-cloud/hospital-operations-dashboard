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ADMIN\Documents\Datasets\Hospital Dataset\"/>
    </mc:Choice>
  </mc:AlternateContent>
  <xr:revisionPtr revIDLastSave="0" documentId="13_ncr:1_{B1292648-712C-4483-9491-9ED6A3CC7030}" xr6:coauthVersionLast="47" xr6:coauthVersionMax="47" xr10:uidLastSave="{00000000-0000-0000-0000-000000000000}"/>
  <bookViews>
    <workbookView xWindow="-110" yWindow="-110" windowWidth="19420" windowHeight="10300" firstSheet="1" activeTab="6" xr2:uid="{00000000-000D-0000-FFFF-FFFF00000000}"/>
  </bookViews>
  <sheets>
    <sheet name="Sheet3" sheetId="4" r:id="rId1"/>
    <sheet name="Sheet5" sheetId="6" r:id="rId2"/>
    <sheet name="Sheet1" sheetId="8" r:id="rId3"/>
    <sheet name="Sheet2" sheetId="9" r:id="rId4"/>
    <sheet name="treatments" sheetId="1" r:id="rId5"/>
    <sheet name="Sheet4" sheetId="5" r:id="rId6"/>
    <sheet name="Dashboard" sheetId="7" r:id="rId7"/>
  </sheets>
  <externalReferences>
    <externalReference r:id="rId8"/>
    <externalReference r:id="rId9"/>
    <externalReference r:id="rId10"/>
  </externalReferences>
  <definedNames>
    <definedName name="NativeTimeline_treatment_date1">#N/A</definedName>
    <definedName name="Slicer_description">#N/A</definedName>
    <definedName name="Slicer_Gender">#N/A</definedName>
    <definedName name="Slicer_Insuarance1">#N/A</definedName>
  </definedNames>
  <calcPr calcId="191029"/>
  <pivotCaches>
    <pivotCache cacheId="1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 l="1"/>
  <c r="S4" i="1"/>
  <c r="S5" i="1"/>
  <c r="S7" i="1"/>
  <c r="S8" i="1"/>
  <c r="S9" i="1"/>
  <c r="S11" i="1"/>
  <c r="S12" i="1"/>
  <c r="S13" i="1"/>
  <c r="S15" i="1"/>
  <c r="S16" i="1"/>
  <c r="S17" i="1"/>
  <c r="S19" i="1"/>
  <c r="S20" i="1"/>
  <c r="S21" i="1"/>
  <c r="S23" i="1"/>
  <c r="S24" i="1"/>
  <c r="S25" i="1"/>
  <c r="S27" i="1"/>
  <c r="S28" i="1"/>
  <c r="S29" i="1"/>
  <c r="S31" i="1"/>
  <c r="S32" i="1"/>
  <c r="S33" i="1"/>
  <c r="S35" i="1"/>
  <c r="S36" i="1"/>
  <c r="S37" i="1"/>
  <c r="S39" i="1"/>
  <c r="S40" i="1"/>
  <c r="S41" i="1"/>
  <c r="S43" i="1"/>
  <c r="S44" i="1"/>
  <c r="S45" i="1"/>
  <c r="S47" i="1"/>
  <c r="S48" i="1"/>
  <c r="S49" i="1"/>
  <c r="S51" i="1"/>
  <c r="S52" i="1"/>
  <c r="S53" i="1"/>
  <c r="S55" i="1"/>
  <c r="S56" i="1"/>
  <c r="S57" i="1"/>
  <c r="S59" i="1"/>
  <c r="S60" i="1"/>
  <c r="S61" i="1"/>
  <c r="S63" i="1"/>
  <c r="S64" i="1"/>
  <c r="S65" i="1"/>
  <c r="S67" i="1"/>
  <c r="S68" i="1"/>
  <c r="S69" i="1"/>
  <c r="S71" i="1"/>
  <c r="S72" i="1"/>
  <c r="S73" i="1"/>
  <c r="S75" i="1"/>
  <c r="S76" i="1"/>
  <c r="S77" i="1"/>
  <c r="S79" i="1"/>
  <c r="S80" i="1"/>
  <c r="S81" i="1"/>
  <c r="S83" i="1"/>
  <c r="S84" i="1"/>
  <c r="S85" i="1"/>
  <c r="S87" i="1"/>
  <c r="S88" i="1"/>
  <c r="S89" i="1"/>
  <c r="S91" i="1"/>
  <c r="S92" i="1"/>
  <c r="S93" i="1"/>
  <c r="S95" i="1"/>
  <c r="S96" i="1"/>
  <c r="S97" i="1"/>
  <c r="S99" i="1"/>
  <c r="S100" i="1"/>
  <c r="S101" i="1"/>
  <c r="S103" i="1"/>
  <c r="S104" i="1"/>
  <c r="S105" i="1"/>
  <c r="S107" i="1"/>
  <c r="S108" i="1"/>
  <c r="S109" i="1"/>
  <c r="S111" i="1"/>
  <c r="S112" i="1"/>
  <c r="S113" i="1"/>
  <c r="S115" i="1"/>
  <c r="S116" i="1"/>
  <c r="S117" i="1"/>
  <c r="S119" i="1"/>
  <c r="S120" i="1"/>
  <c r="S121" i="1"/>
  <c r="S124" i="1"/>
  <c r="S125" i="1"/>
  <c r="S128" i="1"/>
  <c r="S129" i="1"/>
  <c r="S132" i="1"/>
  <c r="S133" i="1"/>
  <c r="S136" i="1"/>
  <c r="S137" i="1"/>
  <c r="S140" i="1"/>
  <c r="S141" i="1"/>
  <c r="S144" i="1"/>
  <c r="S145" i="1"/>
  <c r="S148" i="1"/>
  <c r="S149" i="1"/>
  <c r="S152" i="1"/>
  <c r="S153" i="1"/>
  <c r="S156" i="1"/>
  <c r="S157" i="1"/>
  <c r="S160" i="1"/>
  <c r="S161" i="1"/>
  <c r="S164" i="1"/>
  <c r="S165" i="1"/>
  <c r="S168" i="1"/>
  <c r="S169" i="1"/>
  <c r="S172" i="1"/>
  <c r="S173" i="1"/>
  <c r="S176" i="1"/>
  <c r="S177" i="1"/>
  <c r="S180" i="1"/>
  <c r="S181" i="1"/>
  <c r="S184" i="1"/>
  <c r="S185" i="1"/>
  <c r="S188" i="1"/>
  <c r="S189" i="1"/>
  <c r="S192" i="1"/>
  <c r="S193" i="1"/>
  <c r="S196" i="1"/>
  <c r="S197" i="1"/>
  <c r="S200" i="1"/>
  <c r="S201" i="1"/>
  <c r="G3" i="1"/>
  <c r="G4" i="1"/>
  <c r="G5" i="1"/>
  <c r="G6" i="1"/>
  <c r="S6" i="1" s="1"/>
  <c r="G7" i="1"/>
  <c r="G8" i="1"/>
  <c r="G9" i="1"/>
  <c r="G10" i="1"/>
  <c r="S10" i="1" s="1"/>
  <c r="G11" i="1"/>
  <c r="G12" i="1"/>
  <c r="J12" i="1" s="1"/>
  <c r="G13" i="1"/>
  <c r="G14" i="1"/>
  <c r="S14" i="1" s="1"/>
  <c r="G15" i="1"/>
  <c r="G16" i="1"/>
  <c r="G17" i="1"/>
  <c r="G18" i="1"/>
  <c r="S18" i="1" s="1"/>
  <c r="G19" i="1"/>
  <c r="G20" i="1"/>
  <c r="G21" i="1"/>
  <c r="G22" i="1"/>
  <c r="S22" i="1" s="1"/>
  <c r="G23" i="1"/>
  <c r="G24" i="1"/>
  <c r="G25" i="1"/>
  <c r="G26" i="1"/>
  <c r="S26" i="1" s="1"/>
  <c r="G27" i="1"/>
  <c r="G28" i="1"/>
  <c r="J28" i="1" s="1"/>
  <c r="G29" i="1"/>
  <c r="G30" i="1"/>
  <c r="S30" i="1" s="1"/>
  <c r="G31" i="1"/>
  <c r="G32" i="1"/>
  <c r="J32" i="1" s="1"/>
  <c r="G33" i="1"/>
  <c r="G34" i="1"/>
  <c r="S34" i="1" s="1"/>
  <c r="G35" i="1"/>
  <c r="G36" i="1"/>
  <c r="G37" i="1"/>
  <c r="G38" i="1"/>
  <c r="S38" i="1" s="1"/>
  <c r="G39" i="1"/>
  <c r="G40" i="1"/>
  <c r="G41" i="1"/>
  <c r="G42" i="1"/>
  <c r="S42" i="1" s="1"/>
  <c r="G43" i="1"/>
  <c r="G44" i="1"/>
  <c r="G45" i="1"/>
  <c r="G46" i="1"/>
  <c r="S46" i="1" s="1"/>
  <c r="G47" i="1"/>
  <c r="G48" i="1"/>
  <c r="G49" i="1"/>
  <c r="G50" i="1"/>
  <c r="S50" i="1" s="1"/>
  <c r="G51" i="1"/>
  <c r="G52" i="1"/>
  <c r="G53" i="1"/>
  <c r="G54" i="1"/>
  <c r="S54" i="1" s="1"/>
  <c r="G55" i="1"/>
  <c r="G56" i="1"/>
  <c r="G57" i="1"/>
  <c r="G58" i="1"/>
  <c r="S58" i="1" s="1"/>
  <c r="G59" i="1"/>
  <c r="G60" i="1"/>
  <c r="J60" i="1" s="1"/>
  <c r="G61" i="1"/>
  <c r="G62" i="1"/>
  <c r="S62" i="1" s="1"/>
  <c r="G63" i="1"/>
  <c r="G64" i="1"/>
  <c r="I64" i="1" s="1"/>
  <c r="G65" i="1"/>
  <c r="I65" i="1" s="1"/>
  <c r="G66" i="1"/>
  <c r="S66" i="1" s="1"/>
  <c r="G67" i="1"/>
  <c r="I67" i="1" s="1"/>
  <c r="G68" i="1"/>
  <c r="I68" i="1" s="1"/>
  <c r="G69" i="1"/>
  <c r="I69" i="1" s="1"/>
  <c r="G70" i="1"/>
  <c r="S70" i="1" s="1"/>
  <c r="G71" i="1"/>
  <c r="I71" i="1" s="1"/>
  <c r="G72" i="1"/>
  <c r="G73" i="1"/>
  <c r="G74" i="1"/>
  <c r="I74" i="1" s="1"/>
  <c r="G75" i="1"/>
  <c r="I75" i="1" s="1"/>
  <c r="G76" i="1"/>
  <c r="I76" i="1" s="1"/>
  <c r="G77" i="1"/>
  <c r="G78" i="1"/>
  <c r="S78" i="1" s="1"/>
  <c r="G79" i="1"/>
  <c r="I79" i="1" s="1"/>
  <c r="G80" i="1"/>
  <c r="G81" i="1"/>
  <c r="I81" i="1" s="1"/>
  <c r="G82" i="1"/>
  <c r="I82" i="1" s="1"/>
  <c r="G83" i="1"/>
  <c r="I83" i="1" s="1"/>
  <c r="G84" i="1"/>
  <c r="I84" i="1" s="1"/>
  <c r="G85" i="1"/>
  <c r="I85" i="1" s="1"/>
  <c r="G86" i="1"/>
  <c r="S86" i="1" s="1"/>
  <c r="G87" i="1"/>
  <c r="I87" i="1" s="1"/>
  <c r="G88" i="1"/>
  <c r="G89" i="1"/>
  <c r="G90" i="1"/>
  <c r="S90" i="1" s="1"/>
  <c r="G91" i="1"/>
  <c r="I91" i="1" s="1"/>
  <c r="G92" i="1"/>
  <c r="G93" i="1"/>
  <c r="G94" i="1"/>
  <c r="S94" i="1" s="1"/>
  <c r="G95" i="1"/>
  <c r="I95" i="1" s="1"/>
  <c r="G96" i="1"/>
  <c r="I96" i="1" s="1"/>
  <c r="G97" i="1"/>
  <c r="G98" i="1"/>
  <c r="S98" i="1" s="1"/>
  <c r="G99" i="1"/>
  <c r="I99" i="1" s="1"/>
  <c r="G100" i="1"/>
  <c r="I100" i="1" s="1"/>
  <c r="G101" i="1"/>
  <c r="I101" i="1" s="1"/>
  <c r="G102" i="1"/>
  <c r="S102" i="1" s="1"/>
  <c r="G103" i="1"/>
  <c r="I103" i="1" s="1"/>
  <c r="G104" i="1"/>
  <c r="G105" i="1"/>
  <c r="G106" i="1"/>
  <c r="S106" i="1" s="1"/>
  <c r="G107" i="1"/>
  <c r="I107" i="1" s="1"/>
  <c r="G108" i="1"/>
  <c r="I108" i="1" s="1"/>
  <c r="G109" i="1"/>
  <c r="G110" i="1"/>
  <c r="S110" i="1" s="1"/>
  <c r="G111" i="1"/>
  <c r="I111" i="1" s="1"/>
  <c r="G112" i="1"/>
  <c r="G113" i="1"/>
  <c r="G114" i="1"/>
  <c r="S114" i="1" s="1"/>
  <c r="G115" i="1"/>
  <c r="I115" i="1" s="1"/>
  <c r="G116" i="1"/>
  <c r="I116" i="1" s="1"/>
  <c r="G117" i="1"/>
  <c r="I117" i="1" s="1"/>
  <c r="G118" i="1"/>
  <c r="S118" i="1" s="1"/>
  <c r="G119" i="1"/>
  <c r="I119" i="1" s="1"/>
  <c r="G120" i="1"/>
  <c r="G121" i="1"/>
  <c r="G122" i="1"/>
  <c r="S122" i="1" s="1"/>
  <c r="G123" i="1"/>
  <c r="I123" i="1" s="1"/>
  <c r="G124" i="1"/>
  <c r="G125" i="1"/>
  <c r="G126" i="1"/>
  <c r="S126" i="1" s="1"/>
  <c r="G127" i="1"/>
  <c r="I127" i="1" s="1"/>
  <c r="G128" i="1"/>
  <c r="I128" i="1" s="1"/>
  <c r="G129" i="1"/>
  <c r="I129" i="1" s="1"/>
  <c r="G130" i="1"/>
  <c r="S130" i="1" s="1"/>
  <c r="G131" i="1"/>
  <c r="I131" i="1" s="1"/>
  <c r="G132" i="1"/>
  <c r="I132" i="1" s="1"/>
  <c r="G133" i="1"/>
  <c r="I133" i="1" s="1"/>
  <c r="G134" i="1"/>
  <c r="S134" i="1" s="1"/>
  <c r="G135" i="1"/>
  <c r="I135" i="1" s="1"/>
  <c r="G136" i="1"/>
  <c r="G137" i="1"/>
  <c r="G138" i="1"/>
  <c r="I138" i="1" s="1"/>
  <c r="G139" i="1"/>
  <c r="I139" i="1" s="1"/>
  <c r="G140" i="1"/>
  <c r="I140" i="1" s="1"/>
  <c r="G141" i="1"/>
  <c r="G142" i="1"/>
  <c r="I142" i="1" s="1"/>
  <c r="G143" i="1"/>
  <c r="I143" i="1" s="1"/>
  <c r="G144" i="1"/>
  <c r="G145" i="1"/>
  <c r="G146" i="1"/>
  <c r="S146" i="1" s="1"/>
  <c r="G147" i="1"/>
  <c r="I147" i="1" s="1"/>
  <c r="G148" i="1"/>
  <c r="I148" i="1" s="1"/>
  <c r="G149" i="1"/>
  <c r="I149" i="1" s="1"/>
  <c r="G150" i="1"/>
  <c r="S150" i="1" s="1"/>
  <c r="G151" i="1"/>
  <c r="I151" i="1" s="1"/>
  <c r="G152" i="1"/>
  <c r="G153" i="1"/>
  <c r="G154" i="1"/>
  <c r="S154" i="1" s="1"/>
  <c r="G155" i="1"/>
  <c r="I155" i="1" s="1"/>
  <c r="G156" i="1"/>
  <c r="G157" i="1"/>
  <c r="G158" i="1"/>
  <c r="I158" i="1" s="1"/>
  <c r="G159" i="1"/>
  <c r="I159" i="1" s="1"/>
  <c r="G160" i="1"/>
  <c r="I160" i="1" s="1"/>
  <c r="G161" i="1"/>
  <c r="G162" i="1"/>
  <c r="S162" i="1" s="1"/>
  <c r="G163" i="1"/>
  <c r="I163" i="1" s="1"/>
  <c r="G164" i="1"/>
  <c r="I164" i="1" s="1"/>
  <c r="G165" i="1"/>
  <c r="I165" i="1" s="1"/>
  <c r="G166" i="1"/>
  <c r="S166" i="1" s="1"/>
  <c r="G167" i="1"/>
  <c r="I167" i="1" s="1"/>
  <c r="G168" i="1"/>
  <c r="G169" i="1"/>
  <c r="K169" i="1" s="1"/>
  <c r="G170" i="1"/>
  <c r="S170" i="1" s="1"/>
  <c r="G171" i="1"/>
  <c r="I171" i="1" s="1"/>
  <c r="G172" i="1"/>
  <c r="I172" i="1" s="1"/>
  <c r="G173" i="1"/>
  <c r="G174" i="1"/>
  <c r="S174" i="1" s="1"/>
  <c r="G175" i="1"/>
  <c r="I175" i="1" s="1"/>
  <c r="G176" i="1"/>
  <c r="G177" i="1"/>
  <c r="G178" i="1"/>
  <c r="S178" i="1" s="1"/>
  <c r="G179" i="1"/>
  <c r="I179" i="1" s="1"/>
  <c r="G180" i="1"/>
  <c r="G181" i="1"/>
  <c r="I181" i="1" s="1"/>
  <c r="G182" i="1"/>
  <c r="S182" i="1" s="1"/>
  <c r="G183" i="1"/>
  <c r="I183" i="1" s="1"/>
  <c r="G184" i="1"/>
  <c r="G185" i="1"/>
  <c r="G186" i="1"/>
  <c r="S186" i="1" s="1"/>
  <c r="G187" i="1"/>
  <c r="I187" i="1" s="1"/>
  <c r="G188" i="1"/>
  <c r="G189" i="1"/>
  <c r="G190" i="1"/>
  <c r="I190" i="1" s="1"/>
  <c r="G191" i="1"/>
  <c r="I191" i="1" s="1"/>
  <c r="G192" i="1"/>
  <c r="I192" i="1" s="1"/>
  <c r="G193" i="1"/>
  <c r="G194" i="1"/>
  <c r="S194" i="1" s="1"/>
  <c r="G195" i="1"/>
  <c r="I195" i="1" s="1"/>
  <c r="G196" i="1"/>
  <c r="I196" i="1" s="1"/>
  <c r="G197" i="1"/>
  <c r="I197" i="1" s="1"/>
  <c r="G198" i="1"/>
  <c r="S198" i="1" s="1"/>
  <c r="G199" i="1"/>
  <c r="I199" i="1" s="1"/>
  <c r="G200" i="1"/>
  <c r="G201" i="1"/>
  <c r="I201" i="1" s="1"/>
  <c r="G2" i="1"/>
  <c r="P2" i="1" s="1"/>
  <c r="S199" i="1" l="1"/>
  <c r="S195" i="1"/>
  <c r="S191" i="1"/>
  <c r="S187" i="1"/>
  <c r="S183" i="1"/>
  <c r="S179" i="1"/>
  <c r="S175" i="1"/>
  <c r="S171" i="1"/>
  <c r="S167" i="1"/>
  <c r="S163" i="1"/>
  <c r="S159" i="1"/>
  <c r="S155" i="1"/>
  <c r="S151" i="1"/>
  <c r="S147" i="1"/>
  <c r="S143" i="1"/>
  <c r="S139" i="1"/>
  <c r="S135" i="1"/>
  <c r="S131" i="1"/>
  <c r="S127" i="1"/>
  <c r="S123" i="1"/>
  <c r="S190" i="1"/>
  <c r="S158" i="1"/>
  <c r="S142" i="1"/>
  <c r="S138" i="1"/>
  <c r="S82" i="1"/>
  <c r="S74" i="1"/>
  <c r="S2" i="1"/>
  <c r="H63" i="1"/>
  <c r="I63" i="1"/>
  <c r="H59" i="1"/>
  <c r="I59" i="1"/>
  <c r="H55" i="1"/>
  <c r="I55" i="1"/>
  <c r="H51" i="1"/>
  <c r="I51" i="1"/>
  <c r="H47" i="1"/>
  <c r="I47" i="1"/>
  <c r="H43" i="1"/>
  <c r="I43" i="1"/>
  <c r="H39" i="1"/>
  <c r="I39" i="1"/>
  <c r="H35" i="1"/>
  <c r="I35" i="1"/>
  <c r="H31" i="1"/>
  <c r="I31" i="1"/>
  <c r="H27" i="1"/>
  <c r="I27" i="1"/>
  <c r="H23" i="1"/>
  <c r="I23" i="1"/>
  <c r="H19" i="1"/>
  <c r="I19" i="1"/>
  <c r="H15" i="1"/>
  <c r="I15" i="1"/>
  <c r="H11" i="1"/>
  <c r="I11" i="1"/>
  <c r="H7" i="1"/>
  <c r="I7" i="1"/>
  <c r="H3" i="1"/>
  <c r="I3" i="1"/>
  <c r="J140" i="1"/>
  <c r="J76" i="1"/>
  <c r="L138" i="1"/>
  <c r="M129" i="1"/>
  <c r="H2" i="1"/>
  <c r="H199" i="1"/>
  <c r="H195" i="1"/>
  <c r="H191" i="1"/>
  <c r="H187" i="1"/>
  <c r="H183" i="1"/>
  <c r="H179" i="1"/>
  <c r="H175" i="1"/>
  <c r="H171" i="1"/>
  <c r="H167" i="1"/>
  <c r="H163" i="1"/>
  <c r="H159" i="1"/>
  <c r="H155" i="1"/>
  <c r="H151" i="1"/>
  <c r="H147" i="1"/>
  <c r="H143" i="1"/>
  <c r="H139" i="1"/>
  <c r="H135" i="1"/>
  <c r="H131" i="1"/>
  <c r="H127" i="1"/>
  <c r="H123" i="1"/>
  <c r="H119" i="1"/>
  <c r="H115" i="1"/>
  <c r="H111" i="1"/>
  <c r="H107" i="1"/>
  <c r="H103" i="1"/>
  <c r="H99" i="1"/>
  <c r="H95" i="1"/>
  <c r="H91" i="1"/>
  <c r="H87" i="1"/>
  <c r="H83" i="1"/>
  <c r="H79" i="1"/>
  <c r="H75" i="1"/>
  <c r="H71" i="1"/>
  <c r="H67" i="1"/>
  <c r="O2" i="1"/>
  <c r="N2" i="1"/>
  <c r="L198" i="1"/>
  <c r="I198" i="1"/>
  <c r="P194" i="1"/>
  <c r="I194" i="1"/>
  <c r="L186" i="1"/>
  <c r="I186" i="1"/>
  <c r="L182" i="1"/>
  <c r="I182" i="1"/>
  <c r="K178" i="1"/>
  <c r="I178" i="1"/>
  <c r="K174" i="1"/>
  <c r="I174" i="1"/>
  <c r="L170" i="1"/>
  <c r="I170" i="1"/>
  <c r="L166" i="1"/>
  <c r="I166" i="1"/>
  <c r="K162" i="1"/>
  <c r="I162" i="1"/>
  <c r="P154" i="1"/>
  <c r="I154" i="1"/>
  <c r="L150" i="1"/>
  <c r="I150" i="1"/>
  <c r="K146" i="1"/>
  <c r="I146" i="1"/>
  <c r="L134" i="1"/>
  <c r="I134" i="1"/>
  <c r="K130" i="1"/>
  <c r="I130" i="1"/>
  <c r="K126" i="1"/>
  <c r="I126" i="1"/>
  <c r="L122" i="1"/>
  <c r="I122" i="1"/>
  <c r="L118" i="1"/>
  <c r="I118" i="1"/>
  <c r="K114" i="1"/>
  <c r="I114" i="1"/>
  <c r="K110" i="1"/>
  <c r="I110" i="1"/>
  <c r="P106" i="1"/>
  <c r="I106" i="1"/>
  <c r="L102" i="1"/>
  <c r="I102" i="1"/>
  <c r="K98" i="1"/>
  <c r="I98" i="1"/>
  <c r="K94" i="1"/>
  <c r="I94" i="1"/>
  <c r="P90" i="1"/>
  <c r="I90" i="1"/>
  <c r="L86" i="1"/>
  <c r="I86" i="1"/>
  <c r="K78" i="1"/>
  <c r="I78" i="1"/>
  <c r="L70" i="1"/>
  <c r="I70" i="1"/>
  <c r="K66" i="1"/>
  <c r="I66" i="1"/>
  <c r="K62" i="1"/>
  <c r="H62" i="1"/>
  <c r="I62" i="1"/>
  <c r="L58" i="1"/>
  <c r="H58" i="1"/>
  <c r="I58" i="1"/>
  <c r="L54" i="1"/>
  <c r="H54" i="1"/>
  <c r="I54" i="1"/>
  <c r="K50" i="1"/>
  <c r="H50" i="1"/>
  <c r="I50" i="1"/>
  <c r="K46" i="1"/>
  <c r="H46" i="1"/>
  <c r="I46" i="1"/>
  <c r="P42" i="1"/>
  <c r="H42" i="1"/>
  <c r="I42" i="1"/>
  <c r="L38" i="1"/>
  <c r="H38" i="1"/>
  <c r="I38" i="1"/>
  <c r="K34" i="1"/>
  <c r="H34" i="1"/>
  <c r="I34" i="1"/>
  <c r="K30" i="1"/>
  <c r="H30" i="1"/>
  <c r="I30" i="1"/>
  <c r="P26" i="1"/>
  <c r="H26" i="1"/>
  <c r="I26" i="1"/>
  <c r="L22" i="1"/>
  <c r="H22" i="1"/>
  <c r="I22" i="1"/>
  <c r="H18" i="1"/>
  <c r="I18" i="1"/>
  <c r="K14" i="1"/>
  <c r="H14" i="1"/>
  <c r="I14" i="1"/>
  <c r="H10" i="1"/>
  <c r="I10" i="1"/>
  <c r="L6" i="1"/>
  <c r="H6" i="1"/>
  <c r="I6" i="1"/>
  <c r="J192" i="1"/>
  <c r="J128" i="1"/>
  <c r="J64" i="1"/>
  <c r="K138" i="1"/>
  <c r="L74" i="1"/>
  <c r="M81" i="1"/>
  <c r="I2" i="1"/>
  <c r="H198" i="1"/>
  <c r="H194" i="1"/>
  <c r="H190" i="1"/>
  <c r="H186" i="1"/>
  <c r="H182" i="1"/>
  <c r="H178" i="1"/>
  <c r="H174" i="1"/>
  <c r="H170" i="1"/>
  <c r="H166" i="1"/>
  <c r="H162" i="1"/>
  <c r="H158" i="1"/>
  <c r="H154" i="1"/>
  <c r="H150" i="1"/>
  <c r="H146" i="1"/>
  <c r="H142" i="1"/>
  <c r="H138" i="1"/>
  <c r="H134" i="1"/>
  <c r="H130" i="1"/>
  <c r="H126" i="1"/>
  <c r="H122" i="1"/>
  <c r="H118" i="1"/>
  <c r="H114" i="1"/>
  <c r="H110" i="1"/>
  <c r="H106" i="1"/>
  <c r="H102" i="1"/>
  <c r="H98" i="1"/>
  <c r="H94" i="1"/>
  <c r="H90" i="1"/>
  <c r="H86" i="1"/>
  <c r="H82" i="1"/>
  <c r="H78" i="1"/>
  <c r="H74" i="1"/>
  <c r="H70" i="1"/>
  <c r="H66" i="1"/>
  <c r="K193" i="1"/>
  <c r="I193" i="1"/>
  <c r="M189" i="1"/>
  <c r="I189" i="1"/>
  <c r="M185" i="1"/>
  <c r="I185" i="1"/>
  <c r="K177" i="1"/>
  <c r="I177" i="1"/>
  <c r="M173" i="1"/>
  <c r="I173" i="1"/>
  <c r="M169" i="1"/>
  <c r="I169" i="1"/>
  <c r="K161" i="1"/>
  <c r="I161" i="1"/>
  <c r="M157" i="1"/>
  <c r="I157" i="1"/>
  <c r="M153" i="1"/>
  <c r="I153" i="1"/>
  <c r="K145" i="1"/>
  <c r="I145" i="1"/>
  <c r="M141" i="1"/>
  <c r="I141" i="1"/>
  <c r="M137" i="1"/>
  <c r="I137" i="1"/>
  <c r="M125" i="1"/>
  <c r="I125" i="1"/>
  <c r="M121" i="1"/>
  <c r="I121" i="1"/>
  <c r="M113" i="1"/>
  <c r="I113" i="1"/>
  <c r="M109" i="1"/>
  <c r="I109" i="1"/>
  <c r="M105" i="1"/>
  <c r="I105" i="1"/>
  <c r="M97" i="1"/>
  <c r="I97" i="1"/>
  <c r="M93" i="1"/>
  <c r="I93" i="1"/>
  <c r="M89" i="1"/>
  <c r="I89" i="1"/>
  <c r="M77" i="1"/>
  <c r="I77" i="1"/>
  <c r="M73" i="1"/>
  <c r="I73" i="1"/>
  <c r="M61" i="1"/>
  <c r="H61" i="1"/>
  <c r="I61" i="1"/>
  <c r="M57" i="1"/>
  <c r="H57" i="1"/>
  <c r="I57" i="1"/>
  <c r="H53" i="1"/>
  <c r="I53" i="1"/>
  <c r="M49" i="1"/>
  <c r="H49" i="1"/>
  <c r="I49" i="1"/>
  <c r="M45" i="1"/>
  <c r="H45" i="1"/>
  <c r="I45" i="1"/>
  <c r="M41" i="1"/>
  <c r="H41" i="1"/>
  <c r="I41" i="1"/>
  <c r="H37" i="1"/>
  <c r="I37" i="1"/>
  <c r="M33" i="1"/>
  <c r="H33" i="1"/>
  <c r="I33" i="1"/>
  <c r="M29" i="1"/>
  <c r="H29" i="1"/>
  <c r="I29" i="1"/>
  <c r="M25" i="1"/>
  <c r="H25" i="1"/>
  <c r="I25" i="1"/>
  <c r="H21" i="1"/>
  <c r="I21" i="1"/>
  <c r="H17" i="1"/>
  <c r="I17" i="1"/>
  <c r="M13" i="1"/>
  <c r="H13" i="1"/>
  <c r="I13" i="1"/>
  <c r="M9" i="1"/>
  <c r="H9" i="1"/>
  <c r="I9" i="1"/>
  <c r="H5" i="1"/>
  <c r="I5" i="1"/>
  <c r="J172" i="1"/>
  <c r="J108" i="1"/>
  <c r="K82" i="1"/>
  <c r="L10" i="1"/>
  <c r="M65" i="1"/>
  <c r="H201" i="1"/>
  <c r="H197" i="1"/>
  <c r="H193" i="1"/>
  <c r="H189" i="1"/>
  <c r="H185" i="1"/>
  <c r="H181" i="1"/>
  <c r="H177" i="1"/>
  <c r="H173" i="1"/>
  <c r="H169" i="1"/>
  <c r="H165" i="1"/>
  <c r="H161" i="1"/>
  <c r="H157" i="1"/>
  <c r="H153" i="1"/>
  <c r="H149" i="1"/>
  <c r="H145" i="1"/>
  <c r="H141" i="1"/>
  <c r="H137" i="1"/>
  <c r="H133" i="1"/>
  <c r="H129" i="1"/>
  <c r="H125" i="1"/>
  <c r="H121" i="1"/>
  <c r="H117" i="1"/>
  <c r="H113" i="1"/>
  <c r="H109" i="1"/>
  <c r="H105" i="1"/>
  <c r="H101" i="1"/>
  <c r="H97" i="1"/>
  <c r="H93" i="1"/>
  <c r="H89" i="1"/>
  <c r="H85" i="1"/>
  <c r="H81" i="1"/>
  <c r="H77" i="1"/>
  <c r="H73" i="1"/>
  <c r="H69" i="1"/>
  <c r="H65" i="1"/>
  <c r="J200" i="1"/>
  <c r="I200" i="1"/>
  <c r="J188" i="1"/>
  <c r="I188" i="1"/>
  <c r="J184" i="1"/>
  <c r="I184" i="1"/>
  <c r="K180" i="1"/>
  <c r="I180" i="1"/>
  <c r="J176" i="1"/>
  <c r="I176" i="1"/>
  <c r="J168" i="1"/>
  <c r="I168" i="1"/>
  <c r="J156" i="1"/>
  <c r="I156" i="1"/>
  <c r="J152" i="1"/>
  <c r="I152" i="1"/>
  <c r="J144" i="1"/>
  <c r="I144" i="1"/>
  <c r="J136" i="1"/>
  <c r="I136" i="1"/>
  <c r="J124" i="1"/>
  <c r="I124" i="1"/>
  <c r="J120" i="1"/>
  <c r="I120" i="1"/>
  <c r="J112" i="1"/>
  <c r="I112" i="1"/>
  <c r="J104" i="1"/>
  <c r="I104" i="1"/>
  <c r="J92" i="1"/>
  <c r="I92" i="1"/>
  <c r="J88" i="1"/>
  <c r="I88" i="1"/>
  <c r="J80" i="1"/>
  <c r="I80" i="1"/>
  <c r="J72" i="1"/>
  <c r="I72" i="1"/>
  <c r="I60" i="1"/>
  <c r="H60" i="1"/>
  <c r="I56" i="1"/>
  <c r="H56" i="1"/>
  <c r="I52" i="1"/>
  <c r="H52" i="1"/>
  <c r="J48" i="1"/>
  <c r="I48" i="1"/>
  <c r="H48" i="1"/>
  <c r="I44" i="1"/>
  <c r="H44" i="1"/>
  <c r="I40" i="1"/>
  <c r="H40" i="1"/>
  <c r="I36" i="1"/>
  <c r="H36" i="1"/>
  <c r="I32" i="1"/>
  <c r="H32" i="1"/>
  <c r="I28" i="1"/>
  <c r="H28" i="1"/>
  <c r="I24" i="1"/>
  <c r="H24" i="1"/>
  <c r="I20" i="1"/>
  <c r="H20" i="1"/>
  <c r="J16" i="1"/>
  <c r="I16" i="1"/>
  <c r="H16" i="1"/>
  <c r="I12" i="1"/>
  <c r="H12" i="1"/>
  <c r="I8" i="1"/>
  <c r="H8" i="1"/>
  <c r="I4" i="1"/>
  <c r="H4" i="1"/>
  <c r="J160" i="1"/>
  <c r="J96" i="1"/>
  <c r="J44" i="1"/>
  <c r="K189" i="1"/>
  <c r="K18" i="1"/>
  <c r="M145" i="1"/>
  <c r="M17" i="1"/>
  <c r="H200" i="1"/>
  <c r="H196" i="1"/>
  <c r="H192" i="1"/>
  <c r="H188" i="1"/>
  <c r="H184" i="1"/>
  <c r="H180" i="1"/>
  <c r="H176" i="1"/>
  <c r="H172" i="1"/>
  <c r="H168" i="1"/>
  <c r="H164" i="1"/>
  <c r="H160" i="1"/>
  <c r="H156" i="1"/>
  <c r="H152" i="1"/>
  <c r="H148" i="1"/>
  <c r="H144" i="1"/>
  <c r="H140" i="1"/>
  <c r="H136" i="1"/>
  <c r="H132" i="1"/>
  <c r="H128" i="1"/>
  <c r="H124" i="1"/>
  <c r="H120" i="1"/>
  <c r="H116" i="1"/>
  <c r="H112" i="1"/>
  <c r="H108" i="1"/>
  <c r="H104" i="1"/>
  <c r="H100" i="1"/>
  <c r="H96" i="1"/>
  <c r="H92" i="1"/>
  <c r="H88" i="1"/>
  <c r="H84" i="1"/>
  <c r="H80" i="1"/>
  <c r="H76" i="1"/>
  <c r="H72" i="1"/>
  <c r="H68" i="1"/>
  <c r="H64" i="1"/>
  <c r="K201" i="1"/>
  <c r="K185" i="1"/>
  <c r="M193" i="1"/>
  <c r="P170" i="1"/>
  <c r="K197" i="1"/>
  <c r="K154" i="1"/>
  <c r="L106" i="1"/>
  <c r="L42" i="1"/>
  <c r="M177" i="1"/>
  <c r="L154" i="1"/>
  <c r="L90" i="1"/>
  <c r="L26" i="1"/>
  <c r="M161" i="1"/>
  <c r="Q2" i="1"/>
  <c r="Q26" i="1"/>
  <c r="L2" i="1"/>
  <c r="R196" i="1"/>
  <c r="P196" i="1"/>
  <c r="L196" i="1"/>
  <c r="M196" i="1"/>
  <c r="K196" i="1"/>
  <c r="R188" i="1"/>
  <c r="P188" i="1"/>
  <c r="L188" i="1"/>
  <c r="M188" i="1"/>
  <c r="K188" i="1"/>
  <c r="R180" i="1"/>
  <c r="P180" i="1"/>
  <c r="L180" i="1"/>
  <c r="M180" i="1"/>
  <c r="R172" i="1"/>
  <c r="P172" i="1"/>
  <c r="L172" i="1"/>
  <c r="M172" i="1"/>
  <c r="K172" i="1"/>
  <c r="R164" i="1"/>
  <c r="P164" i="1"/>
  <c r="L164" i="1"/>
  <c r="K164" i="1"/>
  <c r="M164" i="1"/>
  <c r="R156" i="1"/>
  <c r="P156" i="1"/>
  <c r="L156" i="1"/>
  <c r="K156" i="1"/>
  <c r="M156" i="1"/>
  <c r="R148" i="1"/>
  <c r="P148" i="1"/>
  <c r="L148" i="1"/>
  <c r="K148" i="1"/>
  <c r="M148" i="1"/>
  <c r="R140" i="1"/>
  <c r="P140" i="1"/>
  <c r="L140" i="1"/>
  <c r="K140" i="1"/>
  <c r="M140" i="1"/>
  <c r="R132" i="1"/>
  <c r="P132" i="1"/>
  <c r="L132" i="1"/>
  <c r="K132" i="1"/>
  <c r="M132" i="1"/>
  <c r="R124" i="1"/>
  <c r="P124" i="1"/>
  <c r="L124" i="1"/>
  <c r="K124" i="1"/>
  <c r="M124" i="1"/>
  <c r="R116" i="1"/>
  <c r="P116" i="1"/>
  <c r="L116" i="1"/>
  <c r="K116" i="1"/>
  <c r="M116" i="1"/>
  <c r="R108" i="1"/>
  <c r="P108" i="1"/>
  <c r="L108" i="1"/>
  <c r="K108" i="1"/>
  <c r="M108" i="1"/>
  <c r="R100" i="1"/>
  <c r="P100" i="1"/>
  <c r="L100" i="1"/>
  <c r="K100" i="1"/>
  <c r="M100" i="1"/>
  <c r="R92" i="1"/>
  <c r="P92" i="1"/>
  <c r="L92" i="1"/>
  <c r="K92" i="1"/>
  <c r="M92" i="1"/>
  <c r="R84" i="1"/>
  <c r="P84" i="1"/>
  <c r="L84" i="1"/>
  <c r="K84" i="1"/>
  <c r="M84" i="1"/>
  <c r="R76" i="1"/>
  <c r="P76" i="1"/>
  <c r="L76" i="1"/>
  <c r="K76" i="1"/>
  <c r="M76" i="1"/>
  <c r="R68" i="1"/>
  <c r="P68" i="1"/>
  <c r="L68" i="1"/>
  <c r="K68" i="1"/>
  <c r="M68" i="1"/>
  <c r="R60" i="1"/>
  <c r="P60" i="1"/>
  <c r="L60" i="1"/>
  <c r="K60" i="1"/>
  <c r="M60" i="1"/>
  <c r="R56" i="1"/>
  <c r="P56" i="1"/>
  <c r="L56" i="1"/>
  <c r="K56" i="1"/>
  <c r="M56" i="1"/>
  <c r="R52" i="1"/>
  <c r="P52" i="1"/>
  <c r="L52" i="1"/>
  <c r="K52" i="1"/>
  <c r="M52" i="1"/>
  <c r="R48" i="1"/>
  <c r="P48" i="1"/>
  <c r="L48" i="1"/>
  <c r="K48" i="1"/>
  <c r="M48" i="1"/>
  <c r="R44" i="1"/>
  <c r="P44" i="1"/>
  <c r="L44" i="1"/>
  <c r="K44" i="1"/>
  <c r="M44" i="1"/>
  <c r="R40" i="1"/>
  <c r="P40" i="1"/>
  <c r="L40" i="1"/>
  <c r="K40" i="1"/>
  <c r="M40" i="1"/>
  <c r="R36" i="1"/>
  <c r="P36" i="1"/>
  <c r="L36" i="1"/>
  <c r="K36" i="1"/>
  <c r="M36" i="1"/>
  <c r="R32" i="1"/>
  <c r="P32" i="1"/>
  <c r="L32" i="1"/>
  <c r="K32" i="1"/>
  <c r="M32" i="1"/>
  <c r="R28" i="1"/>
  <c r="P28" i="1"/>
  <c r="L28" i="1"/>
  <c r="K28" i="1"/>
  <c r="M28" i="1"/>
  <c r="R24" i="1"/>
  <c r="P24" i="1"/>
  <c r="L24" i="1"/>
  <c r="K24" i="1"/>
  <c r="M24" i="1"/>
  <c r="R20" i="1"/>
  <c r="P20" i="1"/>
  <c r="L20" i="1"/>
  <c r="K20" i="1"/>
  <c r="M20" i="1"/>
  <c r="R16" i="1"/>
  <c r="P16" i="1"/>
  <c r="L16" i="1"/>
  <c r="K16" i="1"/>
  <c r="M16" i="1"/>
  <c r="R12" i="1"/>
  <c r="P12" i="1"/>
  <c r="L12" i="1"/>
  <c r="K12" i="1"/>
  <c r="M12" i="1"/>
  <c r="R8" i="1"/>
  <c r="P8" i="1"/>
  <c r="L8" i="1"/>
  <c r="K8" i="1"/>
  <c r="M8" i="1"/>
  <c r="R4" i="1"/>
  <c r="P4" i="1"/>
  <c r="L4" i="1"/>
  <c r="K4" i="1"/>
  <c r="M4" i="1"/>
  <c r="J56" i="1"/>
  <c r="J40" i="1"/>
  <c r="J24" i="1"/>
  <c r="J8" i="1"/>
  <c r="Q194" i="1"/>
  <c r="Q90" i="1"/>
  <c r="R201" i="1"/>
  <c r="M201" i="1"/>
  <c r="P201" i="1"/>
  <c r="L201" i="1"/>
  <c r="J201" i="1"/>
  <c r="R200" i="1"/>
  <c r="P200" i="1"/>
  <c r="L200" i="1"/>
  <c r="M200" i="1"/>
  <c r="K200" i="1"/>
  <c r="R192" i="1"/>
  <c r="P192" i="1"/>
  <c r="L192" i="1"/>
  <c r="M192" i="1"/>
  <c r="K192" i="1"/>
  <c r="R184" i="1"/>
  <c r="P184" i="1"/>
  <c r="L184" i="1"/>
  <c r="M184" i="1"/>
  <c r="K184" i="1"/>
  <c r="R176" i="1"/>
  <c r="P176" i="1"/>
  <c r="L176" i="1"/>
  <c r="M176" i="1"/>
  <c r="K176" i="1"/>
  <c r="R168" i="1"/>
  <c r="P168" i="1"/>
  <c r="L168" i="1"/>
  <c r="M168" i="1"/>
  <c r="K168" i="1"/>
  <c r="R160" i="1"/>
  <c r="P160" i="1"/>
  <c r="L160" i="1"/>
  <c r="K160" i="1"/>
  <c r="M160" i="1"/>
  <c r="R152" i="1"/>
  <c r="P152" i="1"/>
  <c r="L152" i="1"/>
  <c r="K152" i="1"/>
  <c r="M152" i="1"/>
  <c r="R144" i="1"/>
  <c r="P144" i="1"/>
  <c r="L144" i="1"/>
  <c r="K144" i="1"/>
  <c r="M144" i="1"/>
  <c r="R136" i="1"/>
  <c r="P136" i="1"/>
  <c r="L136" i="1"/>
  <c r="K136" i="1"/>
  <c r="M136" i="1"/>
  <c r="R128" i="1"/>
  <c r="P128" i="1"/>
  <c r="L128" i="1"/>
  <c r="K128" i="1"/>
  <c r="M128" i="1"/>
  <c r="R120" i="1"/>
  <c r="P120" i="1"/>
  <c r="L120" i="1"/>
  <c r="K120" i="1"/>
  <c r="M120" i="1"/>
  <c r="R112" i="1"/>
  <c r="P112" i="1"/>
  <c r="L112" i="1"/>
  <c r="K112" i="1"/>
  <c r="M112" i="1"/>
  <c r="R104" i="1"/>
  <c r="P104" i="1"/>
  <c r="L104" i="1"/>
  <c r="K104" i="1"/>
  <c r="M104" i="1"/>
  <c r="R96" i="1"/>
  <c r="P96" i="1"/>
  <c r="L96" i="1"/>
  <c r="K96" i="1"/>
  <c r="M96" i="1"/>
  <c r="R88" i="1"/>
  <c r="P88" i="1"/>
  <c r="L88" i="1"/>
  <c r="K88" i="1"/>
  <c r="M88" i="1"/>
  <c r="R80" i="1"/>
  <c r="P80" i="1"/>
  <c r="L80" i="1"/>
  <c r="K80" i="1"/>
  <c r="M80" i="1"/>
  <c r="R72" i="1"/>
  <c r="P72" i="1"/>
  <c r="L72" i="1"/>
  <c r="K72" i="1"/>
  <c r="M72" i="1"/>
  <c r="R64" i="1"/>
  <c r="P64" i="1"/>
  <c r="L64" i="1"/>
  <c r="K64" i="1"/>
  <c r="M64" i="1"/>
  <c r="J196" i="1"/>
  <c r="J180" i="1"/>
  <c r="J164" i="1"/>
  <c r="J148" i="1"/>
  <c r="J132" i="1"/>
  <c r="J116" i="1"/>
  <c r="J100" i="1"/>
  <c r="J84" i="1"/>
  <c r="J68" i="1"/>
  <c r="J52" i="1"/>
  <c r="J36" i="1"/>
  <c r="J20" i="1"/>
  <c r="J4" i="1"/>
  <c r="Q106" i="1"/>
  <c r="R2" i="1"/>
  <c r="K2" i="1"/>
  <c r="J2" i="1"/>
  <c r="M2" i="1"/>
  <c r="Q154" i="1"/>
  <c r="Q42" i="1"/>
  <c r="R199" i="1"/>
  <c r="P199" i="1"/>
  <c r="L199" i="1"/>
  <c r="M199" i="1"/>
  <c r="R195" i="1"/>
  <c r="P195" i="1"/>
  <c r="L195" i="1"/>
  <c r="M195" i="1"/>
  <c r="R191" i="1"/>
  <c r="P191" i="1"/>
  <c r="L191" i="1"/>
  <c r="M191" i="1"/>
  <c r="R187" i="1"/>
  <c r="P187" i="1"/>
  <c r="L187" i="1"/>
  <c r="M187" i="1"/>
  <c r="R183" i="1"/>
  <c r="P183" i="1"/>
  <c r="L183" i="1"/>
  <c r="K183" i="1"/>
  <c r="M183" i="1"/>
  <c r="R179" i="1"/>
  <c r="P179" i="1"/>
  <c r="L179" i="1"/>
  <c r="K179" i="1"/>
  <c r="M179" i="1"/>
  <c r="R175" i="1"/>
  <c r="P175" i="1"/>
  <c r="L175" i="1"/>
  <c r="K175" i="1"/>
  <c r="M175" i="1"/>
  <c r="R171" i="1"/>
  <c r="P171" i="1"/>
  <c r="L171" i="1"/>
  <c r="K171" i="1"/>
  <c r="M171" i="1"/>
  <c r="R167" i="1"/>
  <c r="P167" i="1"/>
  <c r="L167" i="1"/>
  <c r="K167" i="1"/>
  <c r="M167" i="1"/>
  <c r="R163" i="1"/>
  <c r="P163" i="1"/>
  <c r="L163" i="1"/>
  <c r="K163" i="1"/>
  <c r="M163" i="1"/>
  <c r="R159" i="1"/>
  <c r="P159" i="1"/>
  <c r="L159" i="1"/>
  <c r="K159" i="1"/>
  <c r="M159" i="1"/>
  <c r="R155" i="1"/>
  <c r="P155" i="1"/>
  <c r="L155" i="1"/>
  <c r="K155" i="1"/>
  <c r="M155" i="1"/>
  <c r="R151" i="1"/>
  <c r="P151" i="1"/>
  <c r="L151" i="1"/>
  <c r="K151" i="1"/>
  <c r="M151" i="1"/>
  <c r="R147" i="1"/>
  <c r="P147" i="1"/>
  <c r="L147" i="1"/>
  <c r="K147" i="1"/>
  <c r="M147" i="1"/>
  <c r="R143" i="1"/>
  <c r="P143" i="1"/>
  <c r="L143" i="1"/>
  <c r="K143" i="1"/>
  <c r="M143" i="1"/>
  <c r="R139" i="1"/>
  <c r="P139" i="1"/>
  <c r="L139" i="1"/>
  <c r="K139" i="1"/>
  <c r="M139" i="1"/>
  <c r="R135" i="1"/>
  <c r="P135" i="1"/>
  <c r="L135" i="1"/>
  <c r="K135" i="1"/>
  <c r="M135" i="1"/>
  <c r="R131" i="1"/>
  <c r="P131" i="1"/>
  <c r="L131" i="1"/>
  <c r="K131" i="1"/>
  <c r="M131" i="1"/>
  <c r="R127" i="1"/>
  <c r="P127" i="1"/>
  <c r="L127" i="1"/>
  <c r="K127" i="1"/>
  <c r="M127" i="1"/>
  <c r="R123" i="1"/>
  <c r="P123" i="1"/>
  <c r="L123" i="1"/>
  <c r="K123" i="1"/>
  <c r="M123" i="1"/>
  <c r="R119" i="1"/>
  <c r="P119" i="1"/>
  <c r="L119" i="1"/>
  <c r="K119" i="1"/>
  <c r="M119" i="1"/>
  <c r="R115" i="1"/>
  <c r="P115" i="1"/>
  <c r="L115" i="1"/>
  <c r="K115" i="1"/>
  <c r="M115" i="1"/>
  <c r="R111" i="1"/>
  <c r="P111" i="1"/>
  <c r="L111" i="1"/>
  <c r="K111" i="1"/>
  <c r="M111" i="1"/>
  <c r="R107" i="1"/>
  <c r="P107" i="1"/>
  <c r="L107" i="1"/>
  <c r="K107" i="1"/>
  <c r="M107" i="1"/>
  <c r="R103" i="1"/>
  <c r="P103" i="1"/>
  <c r="L103" i="1"/>
  <c r="K103" i="1"/>
  <c r="M103" i="1"/>
  <c r="R99" i="1"/>
  <c r="P99" i="1"/>
  <c r="L99" i="1"/>
  <c r="K99" i="1"/>
  <c r="M99" i="1"/>
  <c r="R95" i="1"/>
  <c r="P95" i="1"/>
  <c r="L95" i="1"/>
  <c r="K95" i="1"/>
  <c r="M95" i="1"/>
  <c r="R91" i="1"/>
  <c r="P91" i="1"/>
  <c r="L91" i="1"/>
  <c r="K91" i="1"/>
  <c r="M91" i="1"/>
  <c r="R87" i="1"/>
  <c r="P87" i="1"/>
  <c r="L87" i="1"/>
  <c r="K87" i="1"/>
  <c r="M87" i="1"/>
  <c r="R83" i="1"/>
  <c r="P83" i="1"/>
  <c r="L83" i="1"/>
  <c r="K83" i="1"/>
  <c r="M83" i="1"/>
  <c r="R79" i="1"/>
  <c r="P79" i="1"/>
  <c r="L79" i="1"/>
  <c r="K79" i="1"/>
  <c r="M79" i="1"/>
  <c r="R75" i="1"/>
  <c r="P75" i="1"/>
  <c r="L75" i="1"/>
  <c r="K75" i="1"/>
  <c r="M75" i="1"/>
  <c r="R71" i="1"/>
  <c r="P71" i="1"/>
  <c r="L71" i="1"/>
  <c r="K71" i="1"/>
  <c r="M71" i="1"/>
  <c r="R67" i="1"/>
  <c r="P67" i="1"/>
  <c r="L67" i="1"/>
  <c r="K67" i="1"/>
  <c r="M67" i="1"/>
  <c r="R63" i="1"/>
  <c r="P63" i="1"/>
  <c r="L63" i="1"/>
  <c r="K63" i="1"/>
  <c r="M63" i="1"/>
  <c r="R59" i="1"/>
  <c r="P59" i="1"/>
  <c r="L59" i="1"/>
  <c r="K59" i="1"/>
  <c r="M59" i="1"/>
  <c r="R55" i="1"/>
  <c r="P55" i="1"/>
  <c r="L55" i="1"/>
  <c r="K55" i="1"/>
  <c r="M55" i="1"/>
  <c r="R51" i="1"/>
  <c r="P51" i="1"/>
  <c r="L51" i="1"/>
  <c r="K51" i="1"/>
  <c r="M51" i="1"/>
  <c r="R47" i="1"/>
  <c r="P47" i="1"/>
  <c r="L47" i="1"/>
  <c r="K47" i="1"/>
  <c r="M47" i="1"/>
  <c r="R43" i="1"/>
  <c r="P43" i="1"/>
  <c r="L43" i="1"/>
  <c r="K43" i="1"/>
  <c r="M43" i="1"/>
  <c r="R39" i="1"/>
  <c r="P39" i="1"/>
  <c r="L39" i="1"/>
  <c r="K39" i="1"/>
  <c r="M39" i="1"/>
  <c r="R35" i="1"/>
  <c r="P35" i="1"/>
  <c r="L35" i="1"/>
  <c r="K35" i="1"/>
  <c r="M35" i="1"/>
  <c r="R31" i="1"/>
  <c r="P31" i="1"/>
  <c r="L31" i="1"/>
  <c r="K31" i="1"/>
  <c r="M31" i="1"/>
  <c r="R27" i="1"/>
  <c r="P27" i="1"/>
  <c r="L27" i="1"/>
  <c r="K27" i="1"/>
  <c r="M27" i="1"/>
  <c r="R23" i="1"/>
  <c r="P23" i="1"/>
  <c r="L23" i="1"/>
  <c r="K23" i="1"/>
  <c r="M23" i="1"/>
  <c r="R19" i="1"/>
  <c r="P19" i="1"/>
  <c r="L19" i="1"/>
  <c r="K19" i="1"/>
  <c r="M19" i="1"/>
  <c r="R15" i="1"/>
  <c r="P15" i="1"/>
  <c r="L15" i="1"/>
  <c r="K15" i="1"/>
  <c r="M15" i="1"/>
  <c r="R11" i="1"/>
  <c r="P11" i="1"/>
  <c r="L11" i="1"/>
  <c r="K11" i="1"/>
  <c r="M11" i="1"/>
  <c r="R7" i="1"/>
  <c r="P7" i="1"/>
  <c r="L7" i="1"/>
  <c r="K7" i="1"/>
  <c r="M7" i="1"/>
  <c r="R3" i="1"/>
  <c r="P3" i="1"/>
  <c r="L3" i="1"/>
  <c r="K3" i="1"/>
  <c r="M3" i="1"/>
  <c r="J199" i="1"/>
  <c r="J195" i="1"/>
  <c r="J191" i="1"/>
  <c r="J187" i="1"/>
  <c r="J183" i="1"/>
  <c r="J179" i="1"/>
  <c r="J175" i="1"/>
  <c r="J171" i="1"/>
  <c r="J167" i="1"/>
  <c r="J163" i="1"/>
  <c r="J159" i="1"/>
  <c r="J155" i="1"/>
  <c r="J151" i="1"/>
  <c r="J147" i="1"/>
  <c r="J143" i="1"/>
  <c r="J139" i="1"/>
  <c r="J135" i="1"/>
  <c r="J131" i="1"/>
  <c r="J127" i="1"/>
  <c r="J123" i="1"/>
  <c r="J119" i="1"/>
  <c r="J115" i="1"/>
  <c r="J111" i="1"/>
  <c r="J107" i="1"/>
  <c r="J103" i="1"/>
  <c r="J99" i="1"/>
  <c r="J95" i="1"/>
  <c r="J91" i="1"/>
  <c r="J87" i="1"/>
  <c r="J83" i="1"/>
  <c r="J79" i="1"/>
  <c r="J75" i="1"/>
  <c r="J71" i="1"/>
  <c r="J67" i="1"/>
  <c r="J63" i="1"/>
  <c r="J59" i="1"/>
  <c r="J55" i="1"/>
  <c r="J51" i="1"/>
  <c r="J47" i="1"/>
  <c r="J43" i="1"/>
  <c r="J39" i="1"/>
  <c r="J35" i="1"/>
  <c r="J31" i="1"/>
  <c r="J27" i="1"/>
  <c r="J23" i="1"/>
  <c r="J19" i="1"/>
  <c r="J15" i="1"/>
  <c r="J11" i="1"/>
  <c r="J7" i="1"/>
  <c r="J3" i="1"/>
  <c r="K173" i="1"/>
  <c r="K153" i="1"/>
  <c r="K137" i="1"/>
  <c r="R198" i="1"/>
  <c r="P198" i="1"/>
  <c r="M198" i="1"/>
  <c r="M194" i="1"/>
  <c r="R194" i="1"/>
  <c r="R190" i="1"/>
  <c r="M190" i="1"/>
  <c r="R186" i="1"/>
  <c r="M186" i="1"/>
  <c r="P186" i="1"/>
  <c r="R182" i="1"/>
  <c r="M182" i="1"/>
  <c r="R178" i="1"/>
  <c r="M178" i="1"/>
  <c r="P178" i="1"/>
  <c r="R174" i="1"/>
  <c r="P174" i="1"/>
  <c r="M174" i="1"/>
  <c r="R170" i="1"/>
  <c r="M170" i="1"/>
  <c r="R166" i="1"/>
  <c r="M166" i="1"/>
  <c r="P166" i="1"/>
  <c r="R162" i="1"/>
  <c r="M162" i="1"/>
  <c r="P162" i="1"/>
  <c r="R158" i="1"/>
  <c r="P158" i="1"/>
  <c r="M158" i="1"/>
  <c r="R154" i="1"/>
  <c r="M154" i="1"/>
  <c r="R150" i="1"/>
  <c r="M150" i="1"/>
  <c r="P150" i="1"/>
  <c r="R146" i="1"/>
  <c r="M146" i="1"/>
  <c r="P146" i="1"/>
  <c r="R142" i="1"/>
  <c r="P142" i="1"/>
  <c r="M142" i="1"/>
  <c r="R138" i="1"/>
  <c r="M138" i="1"/>
  <c r="R134" i="1"/>
  <c r="M134" i="1"/>
  <c r="P134" i="1"/>
  <c r="M130" i="1"/>
  <c r="R130" i="1"/>
  <c r="P130" i="1"/>
  <c r="R126" i="1"/>
  <c r="P126" i="1"/>
  <c r="M126" i="1"/>
  <c r="R122" i="1"/>
  <c r="M122" i="1"/>
  <c r="R118" i="1"/>
  <c r="M118" i="1"/>
  <c r="P118" i="1"/>
  <c r="R114" i="1"/>
  <c r="M114" i="1"/>
  <c r="P114" i="1"/>
  <c r="R110" i="1"/>
  <c r="P110" i="1"/>
  <c r="M110" i="1"/>
  <c r="R106" i="1"/>
  <c r="M106" i="1"/>
  <c r="R102" i="1"/>
  <c r="M102" i="1"/>
  <c r="P102" i="1"/>
  <c r="R98" i="1"/>
  <c r="M98" i="1"/>
  <c r="P98" i="1"/>
  <c r="R94" i="1"/>
  <c r="P94" i="1"/>
  <c r="M94" i="1"/>
  <c r="R90" i="1"/>
  <c r="M90" i="1"/>
  <c r="R86" i="1"/>
  <c r="M86" i="1"/>
  <c r="P86" i="1"/>
  <c r="R82" i="1"/>
  <c r="M82" i="1"/>
  <c r="P82" i="1"/>
  <c r="R78" i="1"/>
  <c r="P78" i="1"/>
  <c r="M78" i="1"/>
  <c r="R74" i="1"/>
  <c r="M74" i="1"/>
  <c r="R70" i="1"/>
  <c r="M70" i="1"/>
  <c r="P70" i="1"/>
  <c r="R66" i="1"/>
  <c r="M66" i="1"/>
  <c r="P66" i="1"/>
  <c r="R62" i="1"/>
  <c r="P62" i="1"/>
  <c r="M62" i="1"/>
  <c r="R58" i="1"/>
  <c r="M58" i="1"/>
  <c r="R54" i="1"/>
  <c r="M54" i="1"/>
  <c r="P54" i="1"/>
  <c r="R50" i="1"/>
  <c r="M50" i="1"/>
  <c r="P50" i="1"/>
  <c r="R46" i="1"/>
  <c r="P46" i="1"/>
  <c r="M46" i="1"/>
  <c r="R42" i="1"/>
  <c r="M42" i="1"/>
  <c r="R38" i="1"/>
  <c r="M38" i="1"/>
  <c r="P38" i="1"/>
  <c r="R34" i="1"/>
  <c r="M34" i="1"/>
  <c r="P34" i="1"/>
  <c r="R30" i="1"/>
  <c r="P30" i="1"/>
  <c r="M30" i="1"/>
  <c r="R26" i="1"/>
  <c r="M26" i="1"/>
  <c r="R22" i="1"/>
  <c r="M22" i="1"/>
  <c r="P22" i="1"/>
  <c r="R18" i="1"/>
  <c r="M18" i="1"/>
  <c r="P18" i="1"/>
  <c r="R14" i="1"/>
  <c r="P14" i="1"/>
  <c r="M14" i="1"/>
  <c r="R10" i="1"/>
  <c r="M10" i="1"/>
  <c r="R6" i="1"/>
  <c r="M6" i="1"/>
  <c r="P6" i="1"/>
  <c r="J198" i="1"/>
  <c r="J194" i="1"/>
  <c r="J190" i="1"/>
  <c r="J186" i="1"/>
  <c r="J182" i="1"/>
  <c r="J178" i="1"/>
  <c r="J174" i="1"/>
  <c r="J170" i="1"/>
  <c r="J166" i="1"/>
  <c r="J162" i="1"/>
  <c r="J158" i="1"/>
  <c r="J154" i="1"/>
  <c r="J150" i="1"/>
  <c r="J146" i="1"/>
  <c r="J142" i="1"/>
  <c r="J138" i="1"/>
  <c r="J134" i="1"/>
  <c r="J130" i="1"/>
  <c r="J126" i="1"/>
  <c r="J122" i="1"/>
  <c r="J118" i="1"/>
  <c r="J114" i="1"/>
  <c r="J110" i="1"/>
  <c r="J106" i="1"/>
  <c r="J102" i="1"/>
  <c r="J98" i="1"/>
  <c r="J94" i="1"/>
  <c r="J90" i="1"/>
  <c r="J86" i="1"/>
  <c r="J82" i="1"/>
  <c r="J78" i="1"/>
  <c r="J74" i="1"/>
  <c r="J70" i="1"/>
  <c r="J66" i="1"/>
  <c r="J62" i="1"/>
  <c r="J58" i="1"/>
  <c r="J54" i="1"/>
  <c r="J50" i="1"/>
  <c r="J46" i="1"/>
  <c r="J42" i="1"/>
  <c r="J38" i="1"/>
  <c r="J34" i="1"/>
  <c r="J30" i="1"/>
  <c r="J26" i="1"/>
  <c r="J22" i="1"/>
  <c r="J18" i="1"/>
  <c r="J14" i="1"/>
  <c r="J10" i="1"/>
  <c r="J6" i="1"/>
  <c r="K199" i="1"/>
  <c r="K195" i="1"/>
  <c r="K191" i="1"/>
  <c r="K187" i="1"/>
  <c r="K182" i="1"/>
  <c r="K166" i="1"/>
  <c r="K158" i="1"/>
  <c r="K150" i="1"/>
  <c r="K142" i="1"/>
  <c r="K134" i="1"/>
  <c r="K122" i="1"/>
  <c r="K106" i="1"/>
  <c r="K90" i="1"/>
  <c r="K74" i="1"/>
  <c r="K58" i="1"/>
  <c r="K42" i="1"/>
  <c r="K26" i="1"/>
  <c r="K10" i="1"/>
  <c r="L194" i="1"/>
  <c r="L178" i="1"/>
  <c r="L162" i="1"/>
  <c r="L146" i="1"/>
  <c r="L130" i="1"/>
  <c r="L114" i="1"/>
  <c r="L98" i="1"/>
  <c r="L82" i="1"/>
  <c r="L66" i="1"/>
  <c r="L50" i="1"/>
  <c r="L34" i="1"/>
  <c r="L18" i="1"/>
  <c r="P190" i="1"/>
  <c r="P138" i="1"/>
  <c r="P74" i="1"/>
  <c r="P10" i="1"/>
  <c r="R197" i="1"/>
  <c r="P197" i="1"/>
  <c r="L197" i="1"/>
  <c r="R193" i="1"/>
  <c r="P193" i="1"/>
  <c r="L193" i="1"/>
  <c r="R189" i="1"/>
  <c r="P189" i="1"/>
  <c r="L189" i="1"/>
  <c r="R185" i="1"/>
  <c r="P185" i="1"/>
  <c r="L185" i="1"/>
  <c r="R181" i="1"/>
  <c r="P181" i="1"/>
  <c r="L181" i="1"/>
  <c r="R177" i="1"/>
  <c r="P177" i="1"/>
  <c r="L177" i="1"/>
  <c r="R173" i="1"/>
  <c r="P173" i="1"/>
  <c r="L173" i="1"/>
  <c r="R169" i="1"/>
  <c r="P169" i="1"/>
  <c r="L169" i="1"/>
  <c r="R165" i="1"/>
  <c r="P165" i="1"/>
  <c r="L165" i="1"/>
  <c r="R161" i="1"/>
  <c r="P161" i="1"/>
  <c r="L161" i="1"/>
  <c r="R157" i="1"/>
  <c r="P157" i="1"/>
  <c r="L157" i="1"/>
  <c r="R153" i="1"/>
  <c r="P153" i="1"/>
  <c r="L153" i="1"/>
  <c r="R149" i="1"/>
  <c r="P149" i="1"/>
  <c r="L149" i="1"/>
  <c r="R145" i="1"/>
  <c r="P145" i="1"/>
  <c r="L145" i="1"/>
  <c r="R141" i="1"/>
  <c r="P141" i="1"/>
  <c r="L141" i="1"/>
  <c r="R137" i="1"/>
  <c r="P137" i="1"/>
  <c r="L137" i="1"/>
  <c r="R133" i="1"/>
  <c r="P133" i="1"/>
  <c r="L133" i="1"/>
  <c r="R129" i="1"/>
  <c r="P129" i="1"/>
  <c r="L129" i="1"/>
  <c r="K129" i="1"/>
  <c r="R125" i="1"/>
  <c r="P125" i="1"/>
  <c r="L125" i="1"/>
  <c r="K125" i="1"/>
  <c r="R121" i="1"/>
  <c r="P121" i="1"/>
  <c r="L121" i="1"/>
  <c r="K121" i="1"/>
  <c r="R117" i="1"/>
  <c r="P117" i="1"/>
  <c r="L117" i="1"/>
  <c r="K117" i="1"/>
  <c r="R113" i="1"/>
  <c r="P113" i="1"/>
  <c r="L113" i="1"/>
  <c r="K113" i="1"/>
  <c r="R109" i="1"/>
  <c r="P109" i="1"/>
  <c r="L109" i="1"/>
  <c r="K109" i="1"/>
  <c r="R105" i="1"/>
  <c r="P105" i="1"/>
  <c r="L105" i="1"/>
  <c r="K105" i="1"/>
  <c r="R101" i="1"/>
  <c r="P101" i="1"/>
  <c r="L101" i="1"/>
  <c r="K101" i="1"/>
  <c r="R97" i="1"/>
  <c r="P97" i="1"/>
  <c r="L97" i="1"/>
  <c r="K97" i="1"/>
  <c r="R93" i="1"/>
  <c r="P93" i="1"/>
  <c r="L93" i="1"/>
  <c r="K93" i="1"/>
  <c r="R89" i="1"/>
  <c r="P89" i="1"/>
  <c r="L89" i="1"/>
  <c r="K89" i="1"/>
  <c r="R85" i="1"/>
  <c r="P85" i="1"/>
  <c r="L85" i="1"/>
  <c r="K85" i="1"/>
  <c r="R81" i="1"/>
  <c r="P81" i="1"/>
  <c r="L81" i="1"/>
  <c r="K81" i="1"/>
  <c r="R77" i="1"/>
  <c r="P77" i="1"/>
  <c r="L77" i="1"/>
  <c r="K77" i="1"/>
  <c r="R73" i="1"/>
  <c r="P73" i="1"/>
  <c r="L73" i="1"/>
  <c r="K73" i="1"/>
  <c r="R69" i="1"/>
  <c r="P69" i="1"/>
  <c r="L69" i="1"/>
  <c r="K69" i="1"/>
  <c r="R65" i="1"/>
  <c r="P65" i="1"/>
  <c r="L65" i="1"/>
  <c r="K65" i="1"/>
  <c r="R61" i="1"/>
  <c r="P61" i="1"/>
  <c r="L61" i="1"/>
  <c r="K61" i="1"/>
  <c r="R57" i="1"/>
  <c r="P57" i="1"/>
  <c r="L57" i="1"/>
  <c r="K57" i="1"/>
  <c r="R53" i="1"/>
  <c r="P53" i="1"/>
  <c r="L53" i="1"/>
  <c r="K53" i="1"/>
  <c r="R49" i="1"/>
  <c r="P49" i="1"/>
  <c r="L49" i="1"/>
  <c r="K49" i="1"/>
  <c r="R45" i="1"/>
  <c r="P45" i="1"/>
  <c r="L45" i="1"/>
  <c r="K45" i="1"/>
  <c r="R41" i="1"/>
  <c r="P41" i="1"/>
  <c r="L41" i="1"/>
  <c r="K41" i="1"/>
  <c r="R37" i="1"/>
  <c r="P37" i="1"/>
  <c r="L37" i="1"/>
  <c r="K37" i="1"/>
  <c r="R33" i="1"/>
  <c r="P33" i="1"/>
  <c r="L33" i="1"/>
  <c r="K33" i="1"/>
  <c r="R29" i="1"/>
  <c r="P29" i="1"/>
  <c r="L29" i="1"/>
  <c r="K29" i="1"/>
  <c r="R25" i="1"/>
  <c r="P25" i="1"/>
  <c r="L25" i="1"/>
  <c r="K25" i="1"/>
  <c r="R21" i="1"/>
  <c r="P21" i="1"/>
  <c r="L21" i="1"/>
  <c r="K21" i="1"/>
  <c r="R17" i="1"/>
  <c r="P17" i="1"/>
  <c r="L17" i="1"/>
  <c r="K17" i="1"/>
  <c r="R13" i="1"/>
  <c r="P13" i="1"/>
  <c r="L13" i="1"/>
  <c r="K13" i="1"/>
  <c r="R9" i="1"/>
  <c r="P9" i="1"/>
  <c r="L9" i="1"/>
  <c r="K9" i="1"/>
  <c r="R5" i="1"/>
  <c r="P5" i="1"/>
  <c r="L5" i="1"/>
  <c r="K5" i="1"/>
  <c r="J197" i="1"/>
  <c r="J193" i="1"/>
  <c r="J189" i="1"/>
  <c r="J185" i="1"/>
  <c r="J181" i="1"/>
  <c r="J177" i="1"/>
  <c r="J173" i="1"/>
  <c r="J169" i="1"/>
  <c r="J165" i="1"/>
  <c r="J161" i="1"/>
  <c r="J157" i="1"/>
  <c r="J153" i="1"/>
  <c r="J149" i="1"/>
  <c r="J145" i="1"/>
  <c r="J141" i="1"/>
  <c r="J137" i="1"/>
  <c r="J133" i="1"/>
  <c r="J129" i="1"/>
  <c r="J125" i="1"/>
  <c r="J121" i="1"/>
  <c r="J117" i="1"/>
  <c r="J113" i="1"/>
  <c r="J109" i="1"/>
  <c r="J105" i="1"/>
  <c r="J101" i="1"/>
  <c r="J97" i="1"/>
  <c r="J93" i="1"/>
  <c r="J89" i="1"/>
  <c r="J85" i="1"/>
  <c r="J81" i="1"/>
  <c r="J77" i="1"/>
  <c r="J73" i="1"/>
  <c r="J69" i="1"/>
  <c r="J65" i="1"/>
  <c r="J61" i="1"/>
  <c r="J57" i="1"/>
  <c r="J53" i="1"/>
  <c r="J49" i="1"/>
  <c r="J45" i="1"/>
  <c r="J41" i="1"/>
  <c r="J37" i="1"/>
  <c r="J33" i="1"/>
  <c r="J29" i="1"/>
  <c r="J25" i="1"/>
  <c r="J21" i="1"/>
  <c r="J17" i="1"/>
  <c r="J13" i="1"/>
  <c r="J9" i="1"/>
  <c r="J5" i="1"/>
  <c r="K198" i="1"/>
  <c r="K194" i="1"/>
  <c r="K190" i="1"/>
  <c r="K186" i="1"/>
  <c r="K181" i="1"/>
  <c r="K170" i="1"/>
  <c r="K165" i="1"/>
  <c r="K157" i="1"/>
  <c r="K149" i="1"/>
  <c r="K141" i="1"/>
  <c r="K133" i="1"/>
  <c r="K118" i="1"/>
  <c r="K102" i="1"/>
  <c r="K86" i="1"/>
  <c r="K70" i="1"/>
  <c r="K54" i="1"/>
  <c r="K38" i="1"/>
  <c r="K22" i="1"/>
  <c r="K6" i="1"/>
  <c r="L190" i="1"/>
  <c r="L174" i="1"/>
  <c r="L158" i="1"/>
  <c r="L142" i="1"/>
  <c r="L126" i="1"/>
  <c r="L110" i="1"/>
  <c r="L94" i="1"/>
  <c r="L78" i="1"/>
  <c r="L62" i="1"/>
  <c r="L46" i="1"/>
  <c r="L30" i="1"/>
  <c r="L14" i="1"/>
  <c r="M197" i="1"/>
  <c r="M181" i="1"/>
  <c r="M165" i="1"/>
  <c r="M149" i="1"/>
  <c r="M133" i="1"/>
  <c r="M117" i="1"/>
  <c r="M101" i="1"/>
  <c r="M85" i="1"/>
  <c r="M69" i="1"/>
  <c r="M53" i="1"/>
  <c r="M37" i="1"/>
  <c r="M21" i="1"/>
  <c r="M5" i="1"/>
  <c r="P182" i="1"/>
  <c r="P122" i="1"/>
  <c r="P58" i="1"/>
  <c r="N122" i="1" l="1"/>
  <c r="O122" i="1"/>
  <c r="O133" i="1"/>
  <c r="N133" i="1"/>
  <c r="O149" i="1"/>
  <c r="N149" i="1"/>
  <c r="O165" i="1"/>
  <c r="N165" i="1"/>
  <c r="O181" i="1"/>
  <c r="N181" i="1"/>
  <c r="O197" i="1"/>
  <c r="N197" i="1"/>
  <c r="N138" i="1"/>
  <c r="O138" i="1"/>
  <c r="N22" i="1"/>
  <c r="O22" i="1"/>
  <c r="N34" i="1"/>
  <c r="O34" i="1"/>
  <c r="N62" i="1"/>
  <c r="O62" i="1"/>
  <c r="N86" i="1"/>
  <c r="O86" i="1"/>
  <c r="N98" i="1"/>
  <c r="O98" i="1"/>
  <c r="N126" i="1"/>
  <c r="O126" i="1"/>
  <c r="O150" i="1"/>
  <c r="N150" i="1"/>
  <c r="O162" i="1"/>
  <c r="N162" i="1"/>
  <c r="O186" i="1"/>
  <c r="N186" i="1"/>
  <c r="O198" i="1"/>
  <c r="N198" i="1"/>
  <c r="O11" i="1"/>
  <c r="N11" i="1"/>
  <c r="O27" i="1"/>
  <c r="N27" i="1"/>
  <c r="O43" i="1"/>
  <c r="N43" i="1"/>
  <c r="O59" i="1"/>
  <c r="N59" i="1"/>
  <c r="O75" i="1"/>
  <c r="N75" i="1"/>
  <c r="O91" i="1"/>
  <c r="N91" i="1"/>
  <c r="O107" i="1"/>
  <c r="N107" i="1"/>
  <c r="O123" i="1"/>
  <c r="N123" i="1"/>
  <c r="O139" i="1"/>
  <c r="N139" i="1"/>
  <c r="O155" i="1"/>
  <c r="N155" i="1"/>
  <c r="O171" i="1"/>
  <c r="N171" i="1"/>
  <c r="N64" i="1"/>
  <c r="O64" i="1"/>
  <c r="N96" i="1"/>
  <c r="O96" i="1"/>
  <c r="O128" i="1"/>
  <c r="N128" i="1"/>
  <c r="O160" i="1"/>
  <c r="N160" i="1"/>
  <c r="O192" i="1"/>
  <c r="N192" i="1"/>
  <c r="N16" i="1"/>
  <c r="O16" i="1"/>
  <c r="N32" i="1"/>
  <c r="O32" i="1"/>
  <c r="N48" i="1"/>
  <c r="O48" i="1"/>
  <c r="N68" i="1"/>
  <c r="O68" i="1"/>
  <c r="N100" i="1"/>
  <c r="O100" i="1"/>
  <c r="O132" i="1"/>
  <c r="N132" i="1"/>
  <c r="O164" i="1"/>
  <c r="N164" i="1"/>
  <c r="N90" i="1"/>
  <c r="O90" i="1"/>
  <c r="N106" i="1"/>
  <c r="O106" i="1"/>
  <c r="O154" i="1"/>
  <c r="N154" i="1"/>
  <c r="O194" i="1"/>
  <c r="N194" i="1"/>
  <c r="O182" i="1"/>
  <c r="N182" i="1"/>
  <c r="N5" i="1"/>
  <c r="O5" i="1"/>
  <c r="N9" i="1"/>
  <c r="O9" i="1"/>
  <c r="N13" i="1"/>
  <c r="O13" i="1"/>
  <c r="N17" i="1"/>
  <c r="O17" i="1"/>
  <c r="N21" i="1"/>
  <c r="O21" i="1"/>
  <c r="N25" i="1"/>
  <c r="O25" i="1"/>
  <c r="N29" i="1"/>
  <c r="O29" i="1"/>
  <c r="N33" i="1"/>
  <c r="O33" i="1"/>
  <c r="N37" i="1"/>
  <c r="O37" i="1"/>
  <c r="N41" i="1"/>
  <c r="O41" i="1"/>
  <c r="N45" i="1"/>
  <c r="O45" i="1"/>
  <c r="N49" i="1"/>
  <c r="O49" i="1"/>
  <c r="N53" i="1"/>
  <c r="O53" i="1"/>
  <c r="N57" i="1"/>
  <c r="O57" i="1"/>
  <c r="N61" i="1"/>
  <c r="O61" i="1"/>
  <c r="N65" i="1"/>
  <c r="O65" i="1"/>
  <c r="N69" i="1"/>
  <c r="O69" i="1"/>
  <c r="N73" i="1"/>
  <c r="O73" i="1"/>
  <c r="N77" i="1"/>
  <c r="O77" i="1"/>
  <c r="N81" i="1"/>
  <c r="O81" i="1"/>
  <c r="N85" i="1"/>
  <c r="O85" i="1"/>
  <c r="N89" i="1"/>
  <c r="O89" i="1"/>
  <c r="N93" i="1"/>
  <c r="O93" i="1"/>
  <c r="N97" i="1"/>
  <c r="O97" i="1"/>
  <c r="N101" i="1"/>
  <c r="O101" i="1"/>
  <c r="N105" i="1"/>
  <c r="O105" i="1"/>
  <c r="N109" i="1"/>
  <c r="O109" i="1"/>
  <c r="N113" i="1"/>
  <c r="O113" i="1"/>
  <c r="N117" i="1"/>
  <c r="O117" i="1"/>
  <c r="N121" i="1"/>
  <c r="O121" i="1"/>
  <c r="N125" i="1"/>
  <c r="O125" i="1"/>
  <c r="N129" i="1"/>
  <c r="O129" i="1"/>
  <c r="O145" i="1"/>
  <c r="N145" i="1"/>
  <c r="O161" i="1"/>
  <c r="N161" i="1"/>
  <c r="O177" i="1"/>
  <c r="N177" i="1"/>
  <c r="O193" i="1"/>
  <c r="N193" i="1"/>
  <c r="O190" i="1"/>
  <c r="N190" i="1"/>
  <c r="N6" i="1"/>
  <c r="O6" i="1"/>
  <c r="N18" i="1"/>
  <c r="O18" i="1"/>
  <c r="N46" i="1"/>
  <c r="O46" i="1"/>
  <c r="N70" i="1"/>
  <c r="O70" i="1"/>
  <c r="N82" i="1"/>
  <c r="O82" i="1"/>
  <c r="N110" i="1"/>
  <c r="O110" i="1"/>
  <c r="N134" i="1"/>
  <c r="O134" i="1"/>
  <c r="O146" i="1"/>
  <c r="N146" i="1"/>
  <c r="O174" i="1"/>
  <c r="N174" i="1"/>
  <c r="O15" i="1"/>
  <c r="N15" i="1"/>
  <c r="O31" i="1"/>
  <c r="N31" i="1"/>
  <c r="O47" i="1"/>
  <c r="N47" i="1"/>
  <c r="O63" i="1"/>
  <c r="N63" i="1"/>
  <c r="O79" i="1"/>
  <c r="N79" i="1"/>
  <c r="O95" i="1"/>
  <c r="N95" i="1"/>
  <c r="O111" i="1"/>
  <c r="N111" i="1"/>
  <c r="O127" i="1"/>
  <c r="N127" i="1"/>
  <c r="O143" i="1"/>
  <c r="N143" i="1"/>
  <c r="O159" i="1"/>
  <c r="N159" i="1"/>
  <c r="O175" i="1"/>
  <c r="N175" i="1"/>
  <c r="N72" i="1"/>
  <c r="O72" i="1"/>
  <c r="N104" i="1"/>
  <c r="O104" i="1"/>
  <c r="O136" i="1"/>
  <c r="N136" i="1"/>
  <c r="O168" i="1"/>
  <c r="N168" i="1"/>
  <c r="O200" i="1"/>
  <c r="N200" i="1"/>
  <c r="O201" i="1"/>
  <c r="N201" i="1"/>
  <c r="N4" i="1"/>
  <c r="O4" i="1"/>
  <c r="N20" i="1"/>
  <c r="O20" i="1"/>
  <c r="N36" i="1"/>
  <c r="O36" i="1"/>
  <c r="N52" i="1"/>
  <c r="O52" i="1"/>
  <c r="N76" i="1"/>
  <c r="O76" i="1"/>
  <c r="N108" i="1"/>
  <c r="O108" i="1"/>
  <c r="O140" i="1"/>
  <c r="N140" i="1"/>
  <c r="O172" i="1"/>
  <c r="N172" i="1"/>
  <c r="O180" i="1"/>
  <c r="N180" i="1"/>
  <c r="Q170" i="1"/>
  <c r="O170" i="1"/>
  <c r="N170" i="1"/>
  <c r="O141" i="1"/>
  <c r="N141" i="1"/>
  <c r="O157" i="1"/>
  <c r="N157" i="1"/>
  <c r="O173" i="1"/>
  <c r="N173" i="1"/>
  <c r="O189" i="1"/>
  <c r="N189" i="1"/>
  <c r="N10" i="1"/>
  <c r="O10" i="1"/>
  <c r="N30" i="1"/>
  <c r="O30" i="1"/>
  <c r="N54" i="1"/>
  <c r="O54" i="1"/>
  <c r="N66" i="1"/>
  <c r="O66" i="1"/>
  <c r="N94" i="1"/>
  <c r="O94" i="1"/>
  <c r="N118" i="1"/>
  <c r="O118" i="1"/>
  <c r="N130" i="1"/>
  <c r="O130" i="1"/>
  <c r="O158" i="1"/>
  <c r="N158" i="1"/>
  <c r="O3" i="1"/>
  <c r="N3" i="1"/>
  <c r="O19" i="1"/>
  <c r="N19" i="1"/>
  <c r="O35" i="1"/>
  <c r="N35" i="1"/>
  <c r="O51" i="1"/>
  <c r="N51" i="1"/>
  <c r="O67" i="1"/>
  <c r="N67" i="1"/>
  <c r="O83" i="1"/>
  <c r="N83" i="1"/>
  <c r="O99" i="1"/>
  <c r="N99" i="1"/>
  <c r="O115" i="1"/>
  <c r="N115" i="1"/>
  <c r="O131" i="1"/>
  <c r="N131" i="1"/>
  <c r="O147" i="1"/>
  <c r="N147" i="1"/>
  <c r="O163" i="1"/>
  <c r="N163" i="1"/>
  <c r="O179" i="1"/>
  <c r="N179" i="1"/>
  <c r="N80" i="1"/>
  <c r="O80" i="1"/>
  <c r="N112" i="1"/>
  <c r="O112" i="1"/>
  <c r="O144" i="1"/>
  <c r="N144" i="1"/>
  <c r="O176" i="1"/>
  <c r="N176" i="1"/>
  <c r="N8" i="1"/>
  <c r="O8" i="1"/>
  <c r="N24" i="1"/>
  <c r="O24" i="1"/>
  <c r="N40" i="1"/>
  <c r="O40" i="1"/>
  <c r="N56" i="1"/>
  <c r="O56" i="1"/>
  <c r="N84" i="1"/>
  <c r="O84" i="1"/>
  <c r="O116" i="1"/>
  <c r="N116" i="1"/>
  <c r="O148" i="1"/>
  <c r="N148" i="1"/>
  <c r="O188" i="1"/>
  <c r="N188" i="1"/>
  <c r="N58" i="1"/>
  <c r="O58" i="1"/>
  <c r="O137" i="1"/>
  <c r="N137" i="1"/>
  <c r="O153" i="1"/>
  <c r="N153" i="1"/>
  <c r="O169" i="1"/>
  <c r="N169" i="1"/>
  <c r="O185" i="1"/>
  <c r="N185" i="1"/>
  <c r="N74" i="1"/>
  <c r="O74" i="1"/>
  <c r="N14" i="1"/>
  <c r="O14" i="1"/>
  <c r="N38" i="1"/>
  <c r="O38" i="1"/>
  <c r="N50" i="1"/>
  <c r="O50" i="1"/>
  <c r="N78" i="1"/>
  <c r="O78" i="1"/>
  <c r="N102" i="1"/>
  <c r="O102" i="1"/>
  <c r="N114" i="1"/>
  <c r="O114" i="1"/>
  <c r="N142" i="1"/>
  <c r="O142" i="1"/>
  <c r="O166" i="1"/>
  <c r="N166" i="1"/>
  <c r="O178" i="1"/>
  <c r="N178" i="1"/>
  <c r="O7" i="1"/>
  <c r="N7" i="1"/>
  <c r="O23" i="1"/>
  <c r="N23" i="1"/>
  <c r="O39" i="1"/>
  <c r="N39" i="1"/>
  <c r="O55" i="1"/>
  <c r="N55" i="1"/>
  <c r="O71" i="1"/>
  <c r="N71" i="1"/>
  <c r="O87" i="1"/>
  <c r="N87" i="1"/>
  <c r="O103" i="1"/>
  <c r="N103" i="1"/>
  <c r="O119" i="1"/>
  <c r="N119" i="1"/>
  <c r="O135" i="1"/>
  <c r="N135" i="1"/>
  <c r="O151" i="1"/>
  <c r="N151" i="1"/>
  <c r="O167" i="1"/>
  <c r="N167" i="1"/>
  <c r="O183" i="1"/>
  <c r="N183" i="1"/>
  <c r="O187" i="1"/>
  <c r="N187" i="1"/>
  <c r="O191" i="1"/>
  <c r="N191" i="1"/>
  <c r="O195" i="1"/>
  <c r="N195" i="1"/>
  <c r="O199" i="1"/>
  <c r="N199" i="1"/>
  <c r="N88" i="1"/>
  <c r="O88" i="1"/>
  <c r="O120" i="1"/>
  <c r="N120" i="1"/>
  <c r="O152" i="1"/>
  <c r="N152" i="1"/>
  <c r="O184" i="1"/>
  <c r="N184" i="1"/>
  <c r="N12" i="1"/>
  <c r="O12" i="1"/>
  <c r="N28" i="1"/>
  <c r="O28" i="1"/>
  <c r="N44" i="1"/>
  <c r="O44" i="1"/>
  <c r="N60" i="1"/>
  <c r="O60" i="1"/>
  <c r="N92" i="1"/>
  <c r="O92" i="1"/>
  <c r="O124" i="1"/>
  <c r="N124" i="1"/>
  <c r="O156" i="1"/>
  <c r="N156" i="1"/>
  <c r="O196" i="1"/>
  <c r="N196" i="1"/>
  <c r="N26" i="1"/>
  <c r="O26" i="1"/>
  <c r="N42" i="1"/>
  <c r="O42" i="1"/>
  <c r="Q58" i="1"/>
  <c r="Q5" i="1"/>
  <c r="Q17" i="1"/>
  <c r="Q29" i="1"/>
  <c r="Q33" i="1"/>
  <c r="Q45" i="1"/>
  <c r="Q57" i="1"/>
  <c r="Q77" i="1"/>
  <c r="Q89" i="1"/>
  <c r="Q101" i="1"/>
  <c r="Q125" i="1"/>
  <c r="Q145" i="1"/>
  <c r="Q118" i="1"/>
  <c r="Q27" i="1"/>
  <c r="Q4" i="1"/>
  <c r="Q20" i="1"/>
  <c r="Q36" i="1"/>
  <c r="Q76" i="1"/>
  <c r="Q108" i="1"/>
  <c r="Q140" i="1"/>
  <c r="Q156" i="1"/>
  <c r="Q172" i="1"/>
  <c r="Q122" i="1"/>
  <c r="Q141" i="1"/>
  <c r="Q157" i="1"/>
  <c r="Q173" i="1"/>
  <c r="Q189" i="1"/>
  <c r="Q10" i="1"/>
  <c r="Q14" i="1"/>
  <c r="Q38" i="1"/>
  <c r="Q50" i="1"/>
  <c r="Q78" i="1"/>
  <c r="Q102" i="1"/>
  <c r="Q114" i="1"/>
  <c r="Q142" i="1"/>
  <c r="Q166" i="1"/>
  <c r="Q178" i="1"/>
  <c r="Q15" i="1"/>
  <c r="Q31" i="1"/>
  <c r="Q47" i="1"/>
  <c r="Q63" i="1"/>
  <c r="Q79" i="1"/>
  <c r="Q95" i="1"/>
  <c r="Q111" i="1"/>
  <c r="Q127" i="1"/>
  <c r="Q143" i="1"/>
  <c r="Q159" i="1"/>
  <c r="Q175" i="1"/>
  <c r="Q64" i="1"/>
  <c r="Q80" i="1"/>
  <c r="Q96" i="1"/>
  <c r="Q112" i="1"/>
  <c r="Q128" i="1"/>
  <c r="Q144" i="1"/>
  <c r="Q160" i="1"/>
  <c r="Q176" i="1"/>
  <c r="Q192" i="1"/>
  <c r="Q180" i="1"/>
  <c r="Q196" i="1"/>
  <c r="Q9" i="1"/>
  <c r="Q25" i="1"/>
  <c r="Q37" i="1"/>
  <c r="Q53" i="1"/>
  <c r="Q61" i="1"/>
  <c r="Q69" i="1"/>
  <c r="Q81" i="1"/>
  <c r="Q97" i="1"/>
  <c r="Q105" i="1"/>
  <c r="Q117" i="1"/>
  <c r="Q129" i="1"/>
  <c r="Q161" i="1"/>
  <c r="Q193" i="1"/>
  <c r="Q190" i="1"/>
  <c r="Q30" i="1"/>
  <c r="Q66" i="1"/>
  <c r="Q158" i="1"/>
  <c r="Q107" i="1"/>
  <c r="Q139" i="1"/>
  <c r="Q155" i="1"/>
  <c r="Q171" i="1"/>
  <c r="Q12" i="1"/>
  <c r="Q28" i="1"/>
  <c r="Q44" i="1"/>
  <c r="Q52" i="1"/>
  <c r="Q60" i="1"/>
  <c r="Q92" i="1"/>
  <c r="Q124" i="1"/>
  <c r="Q182" i="1"/>
  <c r="Q137" i="1"/>
  <c r="Q153" i="1"/>
  <c r="Q169" i="1"/>
  <c r="Q185" i="1"/>
  <c r="Q74" i="1"/>
  <c r="Q22" i="1"/>
  <c r="Q34" i="1"/>
  <c r="Q62" i="1"/>
  <c r="Q86" i="1"/>
  <c r="Q98" i="1"/>
  <c r="Q126" i="1"/>
  <c r="Q150" i="1"/>
  <c r="Q162" i="1"/>
  <c r="Q186" i="1"/>
  <c r="Q198" i="1"/>
  <c r="Q3" i="1"/>
  <c r="Q19" i="1"/>
  <c r="Q35" i="1"/>
  <c r="Q51" i="1"/>
  <c r="Q67" i="1"/>
  <c r="Q83" i="1"/>
  <c r="Q99" i="1"/>
  <c r="Q115" i="1"/>
  <c r="Q131" i="1"/>
  <c r="Q147" i="1"/>
  <c r="Q163" i="1"/>
  <c r="Q179" i="1"/>
  <c r="Q8" i="1"/>
  <c r="Q16" i="1"/>
  <c r="Q24" i="1"/>
  <c r="Q32" i="1"/>
  <c r="Q40" i="1"/>
  <c r="Q48" i="1"/>
  <c r="Q56" i="1"/>
  <c r="Q68" i="1"/>
  <c r="Q84" i="1"/>
  <c r="Q100" i="1"/>
  <c r="Q116" i="1"/>
  <c r="Q132" i="1"/>
  <c r="Q148" i="1"/>
  <c r="Q164" i="1"/>
  <c r="Q13" i="1"/>
  <c r="Q21" i="1"/>
  <c r="Q41" i="1"/>
  <c r="Q49" i="1"/>
  <c r="Q65" i="1"/>
  <c r="Q73" i="1"/>
  <c r="Q85" i="1"/>
  <c r="Q93" i="1"/>
  <c r="Q109" i="1"/>
  <c r="Q113" i="1"/>
  <c r="Q121" i="1"/>
  <c r="Q177" i="1"/>
  <c r="Q54" i="1"/>
  <c r="Q94" i="1"/>
  <c r="Q130" i="1"/>
  <c r="Q11" i="1"/>
  <c r="Q43" i="1"/>
  <c r="Q59" i="1"/>
  <c r="Q75" i="1"/>
  <c r="Q91" i="1"/>
  <c r="Q123" i="1"/>
  <c r="Q133" i="1"/>
  <c r="Q149" i="1"/>
  <c r="Q165" i="1"/>
  <c r="Q181" i="1"/>
  <c r="Q197" i="1"/>
  <c r="Q138" i="1"/>
  <c r="Q6" i="1"/>
  <c r="Q18" i="1"/>
  <c r="Q46" i="1"/>
  <c r="Q70" i="1"/>
  <c r="Q82" i="1"/>
  <c r="Q110" i="1"/>
  <c r="Q134" i="1"/>
  <c r="Q146" i="1"/>
  <c r="Q174" i="1"/>
  <c r="Q7" i="1"/>
  <c r="Q23" i="1"/>
  <c r="Q39" i="1"/>
  <c r="Q55" i="1"/>
  <c r="Q71" i="1"/>
  <c r="Q87" i="1"/>
  <c r="Q103" i="1"/>
  <c r="Q119" i="1"/>
  <c r="Q135" i="1"/>
  <c r="Q151" i="1"/>
  <c r="Q167" i="1"/>
  <c r="Q183" i="1"/>
  <c r="Q187" i="1"/>
  <c r="Q191" i="1"/>
  <c r="Q195" i="1"/>
  <c r="Q199" i="1"/>
  <c r="Q72" i="1"/>
  <c r="Q88" i="1"/>
  <c r="Q104" i="1"/>
  <c r="Q120" i="1"/>
  <c r="Q136" i="1"/>
  <c r="Q152" i="1"/>
  <c r="Q168" i="1"/>
  <c r="Q184" i="1"/>
  <c r="Q200" i="1"/>
  <c r="Q201" i="1"/>
  <c r="Q188" i="1"/>
</calcChain>
</file>

<file path=xl/sharedStrings.xml><?xml version="1.0" encoding="utf-8"?>
<sst xmlns="http://schemas.openxmlformats.org/spreadsheetml/2006/main" count="847" uniqueCount="438">
  <si>
    <t>treatment_id</t>
  </si>
  <si>
    <t>appointment_id</t>
  </si>
  <si>
    <t>treatment_type</t>
  </si>
  <si>
    <t>description</t>
  </si>
  <si>
    <t>cost</t>
  </si>
  <si>
    <t>treatment_date</t>
  </si>
  <si>
    <t>T001</t>
  </si>
  <si>
    <t>A001</t>
  </si>
  <si>
    <t>Chemotherapy</t>
  </si>
  <si>
    <t>Basic screening</t>
  </si>
  <si>
    <t>T002</t>
  </si>
  <si>
    <t>A002</t>
  </si>
  <si>
    <t>MRI</t>
  </si>
  <si>
    <t>Advanced protocol</t>
  </si>
  <si>
    <t>T003</t>
  </si>
  <si>
    <t>A003</t>
  </si>
  <si>
    <t>Standard procedure</t>
  </si>
  <si>
    <t>T004</t>
  </si>
  <si>
    <t>A004</t>
  </si>
  <si>
    <t>T005</t>
  </si>
  <si>
    <t>A005</t>
  </si>
  <si>
    <t>ECG</t>
  </si>
  <si>
    <t>T006</t>
  </si>
  <si>
    <t>A006</t>
  </si>
  <si>
    <t>T007</t>
  </si>
  <si>
    <t>A007</t>
  </si>
  <si>
    <t>T008</t>
  </si>
  <si>
    <t>A008</t>
  </si>
  <si>
    <t>Physiotherapy</t>
  </si>
  <si>
    <t>T009</t>
  </si>
  <si>
    <t>A009</t>
  </si>
  <si>
    <t>T010</t>
  </si>
  <si>
    <t>A010</t>
  </si>
  <si>
    <t>T011</t>
  </si>
  <si>
    <t>A011</t>
  </si>
  <si>
    <t>T012</t>
  </si>
  <si>
    <t>A012</t>
  </si>
  <si>
    <t>T013</t>
  </si>
  <si>
    <t>A013</t>
  </si>
  <si>
    <t>T014</t>
  </si>
  <si>
    <t>A014</t>
  </si>
  <si>
    <t>T015</t>
  </si>
  <si>
    <t>A015</t>
  </si>
  <si>
    <t>T016</t>
  </si>
  <si>
    <t>A016</t>
  </si>
  <si>
    <t>T017</t>
  </si>
  <si>
    <t>A017</t>
  </si>
  <si>
    <t>T018</t>
  </si>
  <si>
    <t>A018</t>
  </si>
  <si>
    <t>T019</t>
  </si>
  <si>
    <t>A019</t>
  </si>
  <si>
    <t>X-Ray</t>
  </si>
  <si>
    <t>T020</t>
  </si>
  <si>
    <t>A020</t>
  </si>
  <si>
    <t>T021</t>
  </si>
  <si>
    <t>A021</t>
  </si>
  <si>
    <t>T022</t>
  </si>
  <si>
    <t>A022</t>
  </si>
  <si>
    <t>T023</t>
  </si>
  <si>
    <t>A023</t>
  </si>
  <si>
    <t>T024</t>
  </si>
  <si>
    <t>A024</t>
  </si>
  <si>
    <t>T025</t>
  </si>
  <si>
    <t>A025</t>
  </si>
  <si>
    <t>T026</t>
  </si>
  <si>
    <t>A026</t>
  </si>
  <si>
    <t>T027</t>
  </si>
  <si>
    <t>A027</t>
  </si>
  <si>
    <t>T028</t>
  </si>
  <si>
    <t>A028</t>
  </si>
  <si>
    <t>T029</t>
  </si>
  <si>
    <t>A029</t>
  </si>
  <si>
    <t>T030</t>
  </si>
  <si>
    <t>A030</t>
  </si>
  <si>
    <t>T031</t>
  </si>
  <si>
    <t>A031</t>
  </si>
  <si>
    <t>T032</t>
  </si>
  <si>
    <t>A032</t>
  </si>
  <si>
    <t>T033</t>
  </si>
  <si>
    <t>A033</t>
  </si>
  <si>
    <t>T034</t>
  </si>
  <si>
    <t>A034</t>
  </si>
  <si>
    <t>T035</t>
  </si>
  <si>
    <t>A035</t>
  </si>
  <si>
    <t>T036</t>
  </si>
  <si>
    <t>A036</t>
  </si>
  <si>
    <t>T037</t>
  </si>
  <si>
    <t>A037</t>
  </si>
  <si>
    <t>T038</t>
  </si>
  <si>
    <t>A038</t>
  </si>
  <si>
    <t>T039</t>
  </si>
  <si>
    <t>A039</t>
  </si>
  <si>
    <t>T040</t>
  </si>
  <si>
    <t>A040</t>
  </si>
  <si>
    <t>T041</t>
  </si>
  <si>
    <t>A041</t>
  </si>
  <si>
    <t>T042</t>
  </si>
  <si>
    <t>A042</t>
  </si>
  <si>
    <t>T043</t>
  </si>
  <si>
    <t>A043</t>
  </si>
  <si>
    <t>T044</t>
  </si>
  <si>
    <t>A044</t>
  </si>
  <si>
    <t>T045</t>
  </si>
  <si>
    <t>A045</t>
  </si>
  <si>
    <t>T046</t>
  </si>
  <si>
    <t>A046</t>
  </si>
  <si>
    <t>T047</t>
  </si>
  <si>
    <t>A047</t>
  </si>
  <si>
    <t>T048</t>
  </si>
  <si>
    <t>A048</t>
  </si>
  <si>
    <t>T049</t>
  </si>
  <si>
    <t>A049</t>
  </si>
  <si>
    <t>T050</t>
  </si>
  <si>
    <t>A050</t>
  </si>
  <si>
    <t>T051</t>
  </si>
  <si>
    <t>A051</t>
  </si>
  <si>
    <t>T052</t>
  </si>
  <si>
    <t>A052</t>
  </si>
  <si>
    <t>T053</t>
  </si>
  <si>
    <t>A053</t>
  </si>
  <si>
    <t>T054</t>
  </si>
  <si>
    <t>A054</t>
  </si>
  <si>
    <t>T055</t>
  </si>
  <si>
    <t>A055</t>
  </si>
  <si>
    <t>T056</t>
  </si>
  <si>
    <t>A056</t>
  </si>
  <si>
    <t>T057</t>
  </si>
  <si>
    <t>A057</t>
  </si>
  <si>
    <t>T058</t>
  </si>
  <si>
    <t>A058</t>
  </si>
  <si>
    <t>T059</t>
  </si>
  <si>
    <t>A059</t>
  </si>
  <si>
    <t>T060</t>
  </si>
  <si>
    <t>A060</t>
  </si>
  <si>
    <t>T061</t>
  </si>
  <si>
    <t>A061</t>
  </si>
  <si>
    <t>T062</t>
  </si>
  <si>
    <t>A062</t>
  </si>
  <si>
    <t>T063</t>
  </si>
  <si>
    <t>A063</t>
  </si>
  <si>
    <t>T064</t>
  </si>
  <si>
    <t>A064</t>
  </si>
  <si>
    <t>T065</t>
  </si>
  <si>
    <t>A065</t>
  </si>
  <si>
    <t>T066</t>
  </si>
  <si>
    <t>A066</t>
  </si>
  <si>
    <t>T067</t>
  </si>
  <si>
    <t>A067</t>
  </si>
  <si>
    <t>T068</t>
  </si>
  <si>
    <t>A068</t>
  </si>
  <si>
    <t>T069</t>
  </si>
  <si>
    <t>A069</t>
  </si>
  <si>
    <t>T070</t>
  </si>
  <si>
    <t>A070</t>
  </si>
  <si>
    <t>T071</t>
  </si>
  <si>
    <t>A071</t>
  </si>
  <si>
    <t>T072</t>
  </si>
  <si>
    <t>A072</t>
  </si>
  <si>
    <t>T073</t>
  </si>
  <si>
    <t>A073</t>
  </si>
  <si>
    <t>T074</t>
  </si>
  <si>
    <t>A074</t>
  </si>
  <si>
    <t>T075</t>
  </si>
  <si>
    <t>A075</t>
  </si>
  <si>
    <t>T076</t>
  </si>
  <si>
    <t>A076</t>
  </si>
  <si>
    <t>T077</t>
  </si>
  <si>
    <t>A077</t>
  </si>
  <si>
    <t>T078</t>
  </si>
  <si>
    <t>A078</t>
  </si>
  <si>
    <t>T079</t>
  </si>
  <si>
    <t>A079</t>
  </si>
  <si>
    <t>T080</t>
  </si>
  <si>
    <t>A080</t>
  </si>
  <si>
    <t>T081</t>
  </si>
  <si>
    <t>A081</t>
  </si>
  <si>
    <t>T082</t>
  </si>
  <si>
    <t>A082</t>
  </si>
  <si>
    <t>T083</t>
  </si>
  <si>
    <t>A083</t>
  </si>
  <si>
    <t>T084</t>
  </si>
  <si>
    <t>A084</t>
  </si>
  <si>
    <t>T085</t>
  </si>
  <si>
    <t>A085</t>
  </si>
  <si>
    <t>T086</t>
  </si>
  <si>
    <t>A086</t>
  </si>
  <si>
    <t>T087</t>
  </si>
  <si>
    <t>A087</t>
  </si>
  <si>
    <t>T088</t>
  </si>
  <si>
    <t>A088</t>
  </si>
  <si>
    <t>T089</t>
  </si>
  <si>
    <t>A089</t>
  </si>
  <si>
    <t>T090</t>
  </si>
  <si>
    <t>A090</t>
  </si>
  <si>
    <t>T091</t>
  </si>
  <si>
    <t>A091</t>
  </si>
  <si>
    <t>T092</t>
  </si>
  <si>
    <t>A092</t>
  </si>
  <si>
    <t>T093</t>
  </si>
  <si>
    <t>A093</t>
  </si>
  <si>
    <t>T094</t>
  </si>
  <si>
    <t>A094</t>
  </si>
  <si>
    <t>T095</t>
  </si>
  <si>
    <t>A095</t>
  </si>
  <si>
    <t>T096</t>
  </si>
  <si>
    <t>A096</t>
  </si>
  <si>
    <t>T097</t>
  </si>
  <si>
    <t>A097</t>
  </si>
  <si>
    <t>T098</t>
  </si>
  <si>
    <t>A098</t>
  </si>
  <si>
    <t>T099</t>
  </si>
  <si>
    <t>A099</t>
  </si>
  <si>
    <t>T100</t>
  </si>
  <si>
    <t>A100</t>
  </si>
  <si>
    <t>T101</t>
  </si>
  <si>
    <t>A101</t>
  </si>
  <si>
    <t>T102</t>
  </si>
  <si>
    <t>A102</t>
  </si>
  <si>
    <t>T103</t>
  </si>
  <si>
    <t>A103</t>
  </si>
  <si>
    <t>T104</t>
  </si>
  <si>
    <t>A104</t>
  </si>
  <si>
    <t>T105</t>
  </si>
  <si>
    <t>A105</t>
  </si>
  <si>
    <t>T106</t>
  </si>
  <si>
    <t>A106</t>
  </si>
  <si>
    <t>T107</t>
  </si>
  <si>
    <t>A107</t>
  </si>
  <si>
    <t>T108</t>
  </si>
  <si>
    <t>A108</t>
  </si>
  <si>
    <t>T109</t>
  </si>
  <si>
    <t>A109</t>
  </si>
  <si>
    <t>T110</t>
  </si>
  <si>
    <t>A110</t>
  </si>
  <si>
    <t>T111</t>
  </si>
  <si>
    <t>A111</t>
  </si>
  <si>
    <t>T112</t>
  </si>
  <si>
    <t>A112</t>
  </si>
  <si>
    <t>T113</t>
  </si>
  <si>
    <t>A113</t>
  </si>
  <si>
    <t>T114</t>
  </si>
  <si>
    <t>A114</t>
  </si>
  <si>
    <t>T115</t>
  </si>
  <si>
    <t>A115</t>
  </si>
  <si>
    <t>T116</t>
  </si>
  <si>
    <t>A116</t>
  </si>
  <si>
    <t>T117</t>
  </si>
  <si>
    <t>A117</t>
  </si>
  <si>
    <t>T118</t>
  </si>
  <si>
    <t>A118</t>
  </si>
  <si>
    <t>T119</t>
  </si>
  <si>
    <t>A119</t>
  </si>
  <si>
    <t>T120</t>
  </si>
  <si>
    <t>A120</t>
  </si>
  <si>
    <t>T121</t>
  </si>
  <si>
    <t>A121</t>
  </si>
  <si>
    <t>T122</t>
  </si>
  <si>
    <t>A122</t>
  </si>
  <si>
    <t>T123</t>
  </si>
  <si>
    <t>A123</t>
  </si>
  <si>
    <t>T124</t>
  </si>
  <si>
    <t>A124</t>
  </si>
  <si>
    <t>T125</t>
  </si>
  <si>
    <t>A125</t>
  </si>
  <si>
    <t>T126</t>
  </si>
  <si>
    <t>A126</t>
  </si>
  <si>
    <t>T127</t>
  </si>
  <si>
    <t>A127</t>
  </si>
  <si>
    <t>T128</t>
  </si>
  <si>
    <t>A128</t>
  </si>
  <si>
    <t>T129</t>
  </si>
  <si>
    <t>A129</t>
  </si>
  <si>
    <t>T130</t>
  </si>
  <si>
    <t>A130</t>
  </si>
  <si>
    <t>T131</t>
  </si>
  <si>
    <t>A131</t>
  </si>
  <si>
    <t>T132</t>
  </si>
  <si>
    <t>A132</t>
  </si>
  <si>
    <t>T133</t>
  </si>
  <si>
    <t>A133</t>
  </si>
  <si>
    <t>T134</t>
  </si>
  <si>
    <t>A134</t>
  </si>
  <si>
    <t>T135</t>
  </si>
  <si>
    <t>A135</t>
  </si>
  <si>
    <t>T136</t>
  </si>
  <si>
    <t>A136</t>
  </si>
  <si>
    <t>T137</t>
  </si>
  <si>
    <t>A137</t>
  </si>
  <si>
    <t>T138</t>
  </si>
  <si>
    <t>A138</t>
  </si>
  <si>
    <t>T139</t>
  </si>
  <si>
    <t>A139</t>
  </si>
  <si>
    <t>T140</t>
  </si>
  <si>
    <t>A140</t>
  </si>
  <si>
    <t>T141</t>
  </si>
  <si>
    <t>A141</t>
  </si>
  <si>
    <t>T142</t>
  </si>
  <si>
    <t>A142</t>
  </si>
  <si>
    <t>T143</t>
  </si>
  <si>
    <t>A143</t>
  </si>
  <si>
    <t>T144</t>
  </si>
  <si>
    <t>A144</t>
  </si>
  <si>
    <t>T145</t>
  </si>
  <si>
    <t>A145</t>
  </si>
  <si>
    <t>T146</t>
  </si>
  <si>
    <t>A146</t>
  </si>
  <si>
    <t>T147</t>
  </si>
  <si>
    <t>A147</t>
  </si>
  <si>
    <t>T148</t>
  </si>
  <si>
    <t>A148</t>
  </si>
  <si>
    <t>T149</t>
  </si>
  <si>
    <t>A149</t>
  </si>
  <si>
    <t>T150</t>
  </si>
  <si>
    <t>A150</t>
  </si>
  <si>
    <t>T151</t>
  </si>
  <si>
    <t>A151</t>
  </si>
  <si>
    <t>T152</t>
  </si>
  <si>
    <t>A152</t>
  </si>
  <si>
    <t>T153</t>
  </si>
  <si>
    <t>A153</t>
  </si>
  <si>
    <t>T154</t>
  </si>
  <si>
    <t>A154</t>
  </si>
  <si>
    <t>T155</t>
  </si>
  <si>
    <t>A155</t>
  </si>
  <si>
    <t>T156</t>
  </si>
  <si>
    <t>A156</t>
  </si>
  <si>
    <t>T157</t>
  </si>
  <si>
    <t>A157</t>
  </si>
  <si>
    <t>T158</t>
  </si>
  <si>
    <t>A158</t>
  </si>
  <si>
    <t>T159</t>
  </si>
  <si>
    <t>A159</t>
  </si>
  <si>
    <t>T160</t>
  </si>
  <si>
    <t>A160</t>
  </si>
  <si>
    <t>T161</t>
  </si>
  <si>
    <t>A161</t>
  </si>
  <si>
    <t>T162</t>
  </si>
  <si>
    <t>A162</t>
  </si>
  <si>
    <t>T163</t>
  </si>
  <si>
    <t>A163</t>
  </si>
  <si>
    <t>T164</t>
  </si>
  <si>
    <t>A164</t>
  </si>
  <si>
    <t>T165</t>
  </si>
  <si>
    <t>A165</t>
  </si>
  <si>
    <t>T166</t>
  </si>
  <si>
    <t>A166</t>
  </si>
  <si>
    <t>T167</t>
  </si>
  <si>
    <t>A167</t>
  </si>
  <si>
    <t>T168</t>
  </si>
  <si>
    <t>A168</t>
  </si>
  <si>
    <t>T169</t>
  </si>
  <si>
    <t>A169</t>
  </si>
  <si>
    <t>T170</t>
  </si>
  <si>
    <t>A170</t>
  </si>
  <si>
    <t>T171</t>
  </si>
  <si>
    <t>A171</t>
  </si>
  <si>
    <t>T172</t>
  </si>
  <si>
    <t>A172</t>
  </si>
  <si>
    <t>T173</t>
  </si>
  <si>
    <t>A173</t>
  </si>
  <si>
    <t>T174</t>
  </si>
  <si>
    <t>A174</t>
  </si>
  <si>
    <t>T175</t>
  </si>
  <si>
    <t>A175</t>
  </si>
  <si>
    <t>T176</t>
  </si>
  <si>
    <t>A176</t>
  </si>
  <si>
    <t>T177</t>
  </si>
  <si>
    <t>A177</t>
  </si>
  <si>
    <t>T178</t>
  </si>
  <si>
    <t>A178</t>
  </si>
  <si>
    <t>T179</t>
  </si>
  <si>
    <t>A179</t>
  </si>
  <si>
    <t>T180</t>
  </si>
  <si>
    <t>A180</t>
  </si>
  <si>
    <t>T181</t>
  </si>
  <si>
    <t>A181</t>
  </si>
  <si>
    <t>T182</t>
  </si>
  <si>
    <t>A182</t>
  </si>
  <si>
    <t>T183</t>
  </si>
  <si>
    <t>A183</t>
  </si>
  <si>
    <t>T184</t>
  </si>
  <si>
    <t>A184</t>
  </si>
  <si>
    <t>T185</t>
  </si>
  <si>
    <t>A185</t>
  </si>
  <si>
    <t>T186</t>
  </si>
  <si>
    <t>A186</t>
  </si>
  <si>
    <t>T187</t>
  </si>
  <si>
    <t>A187</t>
  </si>
  <si>
    <t>T188</t>
  </si>
  <si>
    <t>A188</t>
  </si>
  <si>
    <t>T189</t>
  </si>
  <si>
    <t>A189</t>
  </si>
  <si>
    <t>T190</t>
  </si>
  <si>
    <t>A190</t>
  </si>
  <si>
    <t>T191</t>
  </si>
  <si>
    <t>A191</t>
  </si>
  <si>
    <t>T192</t>
  </si>
  <si>
    <t>A192</t>
  </si>
  <si>
    <t>T193</t>
  </si>
  <si>
    <t>A193</t>
  </si>
  <si>
    <t>T194</t>
  </si>
  <si>
    <t>A194</t>
  </si>
  <si>
    <t>T195</t>
  </si>
  <si>
    <t>A195</t>
  </si>
  <si>
    <t>T196</t>
  </si>
  <si>
    <t>A196</t>
  </si>
  <si>
    <t>T197</t>
  </si>
  <si>
    <t>A197</t>
  </si>
  <si>
    <t>T198</t>
  </si>
  <si>
    <t>A198</t>
  </si>
  <si>
    <t>T199</t>
  </si>
  <si>
    <t>A199</t>
  </si>
  <si>
    <t>T200</t>
  </si>
  <si>
    <t>A200</t>
  </si>
  <si>
    <t xml:space="preserve"> Patient Id</t>
  </si>
  <si>
    <t>Patient Name</t>
  </si>
  <si>
    <t xml:space="preserve">Gender </t>
  </si>
  <si>
    <t>Insuarance</t>
  </si>
  <si>
    <t>Appointment id</t>
  </si>
  <si>
    <t>reason for visit</t>
  </si>
  <si>
    <t>Doctor Id</t>
  </si>
  <si>
    <t xml:space="preserve"> </t>
  </si>
  <si>
    <t>Doctor Name</t>
  </si>
  <si>
    <t>specialization</t>
  </si>
  <si>
    <t>status</t>
  </si>
  <si>
    <t xml:space="preserve">second </t>
  </si>
  <si>
    <t>second</t>
  </si>
  <si>
    <t>Appointment date</t>
  </si>
  <si>
    <t>Count of appointment_id</t>
  </si>
  <si>
    <t>Row Labels</t>
  </si>
  <si>
    <t>Grand Total</t>
  </si>
  <si>
    <t>Count of  Patient Id</t>
  </si>
  <si>
    <t>Linda</t>
  </si>
  <si>
    <t>Sum of cost</t>
  </si>
  <si>
    <t>Follow-up</t>
  </si>
  <si>
    <t>Count of treatment_id</t>
  </si>
  <si>
    <t>Scheduled</t>
  </si>
  <si>
    <t>Oncology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</si>
</sst>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m/d/yyyy"/>
    </dxf>
    <dxf>
      <font>
        <b/>
        <i val="0"/>
        <sz val="11"/>
        <color theme="0"/>
        <name val="Calibri"/>
        <family val="2"/>
        <scheme val="minor"/>
      </font>
    </dxf>
    <dxf>
      <font>
        <b/>
        <i val="0"/>
        <sz val="11"/>
        <name val="Calibri"/>
        <family val="2"/>
        <scheme val="minor"/>
      </font>
      <fill>
        <patternFill patternType="solid">
          <fgColor theme="0"/>
          <bgColor rgb="FF1EE6AD"/>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ill>
        <patternFill>
          <bgColor rgb="FF21FFB5"/>
        </patternFill>
      </fill>
    </dxf>
  </dxfs>
  <tableStyles count="2" defaultTableStyle="TableStyleMedium2" defaultPivotStyle="PivotStyleLight16">
    <tableStyle name="Slicer Style 1" pivot="0" table="0" count="7" xr9:uid="{00000000-0011-0000-FFFF-FFFF00000000}">
      <tableStyleElement type="wholeTable" dxfId="4"/>
      <tableStyleElement type="headerRow" dxfId="3"/>
    </tableStyle>
    <tableStyle name="Timeline Style 1" pivot="0" table="0" count="8" xr9:uid="{00000000-0011-0000-FFFF-FFFF01000000}">
      <tableStyleElement type="wholeTable" dxfId="2"/>
      <tableStyleElement type="headerRow" dxfId="1"/>
    </tableStyle>
  </tableStyles>
  <colors>
    <mruColors>
      <color rgb="FF1EE6AD"/>
      <color rgb="FF6EEEB1"/>
      <color rgb="FF66FFCC"/>
      <color rgb="FF8A0000"/>
      <color rgb="FF21FFB5"/>
      <color rgb="FF8E0000"/>
    </mruColors>
  </colors>
  <extLst>
    <ext xmlns:x14="http://schemas.microsoft.com/office/spreadsheetml/2009/9/main" uri="{46F421CA-312F-682f-3DD2-61675219B42D}">
      <x14:dxfs count="5">
        <dxf>
          <font>
            <sz val="11"/>
            <color theme="0"/>
            <name val="Calibri"/>
            <family val="2"/>
            <scheme val="minor"/>
          </font>
          <fill>
            <patternFill>
              <bgColor rgb="FF8A0000"/>
            </patternFill>
          </fill>
        </dxf>
        <dxf>
          <font>
            <b/>
            <i/>
            <sz val="11"/>
            <color auto="1"/>
            <name val="Calibri"/>
            <family val="2"/>
            <scheme val="minor"/>
          </font>
        </dxf>
        <dxf>
          <font>
            <b/>
            <i val="0"/>
            <sz val="11"/>
            <color theme="0"/>
            <name val="Calibri"/>
            <family val="2"/>
            <scheme val="minor"/>
          </font>
        </dxf>
        <dxf>
          <font>
            <b/>
            <i val="0"/>
            <sz val="11"/>
            <name val="Calibri"/>
            <family val="2"/>
            <scheme val="minor"/>
          </font>
        </dxf>
        <dxf>
          <font>
            <b/>
            <i val="0"/>
            <sz val="11"/>
            <color theme="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8E0000"/>
            </patternFill>
          </fill>
        </dxf>
        <dxf>
          <font>
            <b/>
            <i val="0"/>
            <sz val="11"/>
            <color theme="1" tint="0.24994659260841701"/>
            <name val="Calibri"/>
            <family val="2"/>
            <scheme val="minor"/>
          </font>
        </dxf>
        <dxf>
          <font>
            <b/>
            <i val="0"/>
            <sz val="11"/>
            <color theme="1"/>
            <name val="Calibri"/>
            <family val="2"/>
            <scheme val="minor"/>
          </font>
        </dxf>
        <dxf>
          <font>
            <b/>
            <i/>
            <sz val="11"/>
            <color theme="1"/>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[treatments.xlsx]Sheet3!PivotTable3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Status 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E9-4753-A07C-AFCC9123AA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Sheet3!$A$4:$A$5</c:f>
              <c:strCache>
                <c:ptCount val="1"/>
                <c:pt idx="0">
                  <c:v>Scheduled</c:v>
                </c:pt>
              </c:strCache>
            </c:strRef>
          </c:cat>
          <c:val>
            <c:numRef>
              <c:f>Sheet3!$B$4:$B$5</c:f>
              <c:numCache>
                <c:formatCode>General</c:formatCode>
                <c:ptCount val="1"/>
                <c:pt idx="0">
                  <c:v>2</c:v>
                </c:pt>
              </c:numCache>
            </c:numRef>
          </c:val>
          <c:extLst>
            <c:ext xmlns:c16="http://schemas.microsoft.com/office/drawing/2014/chart" uri="{C3380CC4-5D6E-409C-BE32-E72D297353CC}">
              <c16:uniqueId val="{00000000-CA83-4DB7-B10B-BF912A8B726B}"/>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EEEB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[treatments.xlsx]Sheet5!PivotTable5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Doctor 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rgbClr val="8E0000"/>
            </a:solidFill>
            <a:ln>
              <a:noFill/>
            </a:ln>
            <a:effectLst/>
          </c:spPr>
          <c:invertIfNegative val="0"/>
          <c:cat>
            <c:strRef>
              <c:f>Sheet5!$A$4:$A$5</c:f>
              <c:strCache>
                <c:ptCount val="1"/>
                <c:pt idx="0">
                  <c:v>Linda</c:v>
                </c:pt>
              </c:strCache>
            </c:strRef>
          </c:cat>
          <c:val>
            <c:numRef>
              <c:f>Sheet5!$B$4:$B$5</c:f>
              <c:numCache>
                <c:formatCode>General</c:formatCode>
                <c:ptCount val="1"/>
                <c:pt idx="0">
                  <c:v>2</c:v>
                </c:pt>
              </c:numCache>
            </c:numRef>
          </c:val>
          <c:extLst>
            <c:ext xmlns:c16="http://schemas.microsoft.com/office/drawing/2014/chart" uri="{C3380CC4-5D6E-409C-BE32-E72D297353CC}">
              <c16:uniqueId val="{00000000-3CF2-4A4D-9FD9-CF14FE86C894}"/>
            </c:ext>
          </c:extLst>
        </c:ser>
        <c:dLbls>
          <c:showLegendKey val="0"/>
          <c:showVal val="0"/>
          <c:showCatName val="0"/>
          <c:showSerName val="0"/>
          <c:showPercent val="0"/>
          <c:showBubbleSize val="0"/>
        </c:dLbls>
        <c:gapWidth val="182"/>
        <c:axId val="116776480"/>
        <c:axId val="116768576"/>
      </c:barChart>
      <c:catAx>
        <c:axId val="11677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768576"/>
        <c:crosses val="autoZero"/>
        <c:auto val="1"/>
        <c:lblAlgn val="ctr"/>
        <c:lblOffset val="100"/>
        <c:noMultiLvlLbl val="0"/>
      </c:catAx>
      <c:valAx>
        <c:axId val="11676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77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EEEB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[treatments.xlsx]Sheet1!PivotTable2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Treatment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8A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rgbClr val="8A0000"/>
            </a:solidFill>
            <a:ln>
              <a:noFill/>
            </a:ln>
            <a:effectLst/>
          </c:spPr>
          <c:invertIfNegative val="0"/>
          <c:cat>
            <c:strRef>
              <c:f>Sheet1!$A$4:$A$6</c:f>
              <c:strCache>
                <c:ptCount val="2"/>
                <c:pt idx="0">
                  <c:v>Physiotherapy</c:v>
                </c:pt>
                <c:pt idx="1">
                  <c:v>X-Ray</c:v>
                </c:pt>
              </c:strCache>
            </c:strRef>
          </c:cat>
          <c:val>
            <c:numRef>
              <c:f>Sheet1!$B$4:$B$6</c:f>
              <c:numCache>
                <c:formatCode>General</c:formatCode>
                <c:ptCount val="2"/>
                <c:pt idx="0">
                  <c:v>3052.9</c:v>
                </c:pt>
                <c:pt idx="1">
                  <c:v>4450.88</c:v>
                </c:pt>
              </c:numCache>
            </c:numRef>
          </c:val>
          <c:extLst>
            <c:ext xmlns:c16="http://schemas.microsoft.com/office/drawing/2014/chart" uri="{C3380CC4-5D6E-409C-BE32-E72D297353CC}">
              <c16:uniqueId val="{00000000-5CFB-4E42-8793-30D047102B25}"/>
            </c:ext>
          </c:extLst>
        </c:ser>
        <c:dLbls>
          <c:showLegendKey val="0"/>
          <c:showVal val="0"/>
          <c:showCatName val="0"/>
          <c:showSerName val="0"/>
          <c:showPercent val="0"/>
          <c:showBubbleSize val="0"/>
        </c:dLbls>
        <c:gapWidth val="182"/>
        <c:axId val="540115184"/>
        <c:axId val="540121840"/>
      </c:barChart>
      <c:catAx>
        <c:axId val="54011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0121840"/>
        <c:crosses val="autoZero"/>
        <c:auto val="1"/>
        <c:lblAlgn val="ctr"/>
        <c:lblOffset val="100"/>
        <c:noMultiLvlLbl val="0"/>
      </c:catAx>
      <c:valAx>
        <c:axId val="54012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011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6FFCC"/>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[treatments.xlsx]Sheet2!PivotTable4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Reason for treatment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Sheet2!$A$4:$A$5</c:f>
              <c:strCache>
                <c:ptCount val="1"/>
                <c:pt idx="0">
                  <c:v>Follow-up</c:v>
                </c:pt>
              </c:strCache>
            </c:strRef>
          </c:cat>
          <c:val>
            <c:numRef>
              <c:f>Sheet2!$B$4:$B$5</c:f>
              <c:numCache>
                <c:formatCode>General</c:formatCode>
                <c:ptCount val="1"/>
                <c:pt idx="0">
                  <c:v>2</c:v>
                </c:pt>
              </c:numCache>
            </c:numRef>
          </c:val>
          <c:extLst>
            <c:ext xmlns:c16="http://schemas.microsoft.com/office/drawing/2014/chart" uri="{C3380CC4-5D6E-409C-BE32-E72D297353CC}">
              <c16:uniqueId val="{00000000-A689-40C0-AC64-5BA18A9BEE50}"/>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6FFCC"/>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[treatments.xlsx]Sheet4!PivotTable4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Department 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rgbClr val="8E0000"/>
            </a:solidFill>
            <a:ln>
              <a:noFill/>
            </a:ln>
            <a:effectLst/>
          </c:spPr>
          <c:invertIfNegative val="0"/>
          <c:cat>
            <c:strRef>
              <c:f>Sheet4!$A$4:$A$5</c:f>
              <c:strCache>
                <c:ptCount val="1"/>
                <c:pt idx="0">
                  <c:v>Oncology</c:v>
                </c:pt>
              </c:strCache>
            </c:strRef>
          </c:cat>
          <c:val>
            <c:numRef>
              <c:f>Sheet4!$B$4:$B$5</c:f>
              <c:numCache>
                <c:formatCode>General</c:formatCode>
                <c:ptCount val="1"/>
                <c:pt idx="0">
                  <c:v>2</c:v>
                </c:pt>
              </c:numCache>
            </c:numRef>
          </c:val>
          <c:extLst>
            <c:ext xmlns:c16="http://schemas.microsoft.com/office/drawing/2014/chart" uri="{C3380CC4-5D6E-409C-BE32-E72D297353CC}">
              <c16:uniqueId val="{00000000-7244-402B-82F2-3896641B8339}"/>
            </c:ext>
          </c:extLst>
        </c:ser>
        <c:dLbls>
          <c:showLegendKey val="0"/>
          <c:showVal val="0"/>
          <c:showCatName val="0"/>
          <c:showSerName val="0"/>
          <c:showPercent val="0"/>
          <c:showBubbleSize val="0"/>
        </c:dLbls>
        <c:gapWidth val="182"/>
        <c:axId val="111376400"/>
        <c:axId val="111363088"/>
      </c:barChart>
      <c:catAx>
        <c:axId val="11137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363088"/>
        <c:crosses val="autoZero"/>
        <c:auto val="1"/>
        <c:lblAlgn val="ctr"/>
        <c:lblOffset val="100"/>
        <c:noMultiLvlLbl val="0"/>
      </c:catAx>
      <c:valAx>
        <c:axId val="11136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37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EEEB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[treatments.xlsx]Sheet1!PivotTable2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Treatment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8A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rgbClr val="8A0000"/>
            </a:solidFill>
            <a:ln>
              <a:noFill/>
            </a:ln>
            <a:effectLst/>
          </c:spPr>
          <c:invertIfNegative val="0"/>
          <c:cat>
            <c:strRef>
              <c:f>Sheet1!$A$4:$A$6</c:f>
              <c:strCache>
                <c:ptCount val="2"/>
                <c:pt idx="0">
                  <c:v>Physiotherapy</c:v>
                </c:pt>
                <c:pt idx="1">
                  <c:v>X-Ray</c:v>
                </c:pt>
              </c:strCache>
            </c:strRef>
          </c:cat>
          <c:val>
            <c:numRef>
              <c:f>Sheet1!$B$4:$B$6</c:f>
              <c:numCache>
                <c:formatCode>General</c:formatCode>
                <c:ptCount val="2"/>
                <c:pt idx="0">
                  <c:v>3052.9</c:v>
                </c:pt>
                <c:pt idx="1">
                  <c:v>4450.88</c:v>
                </c:pt>
              </c:numCache>
            </c:numRef>
          </c:val>
          <c:extLst>
            <c:ext xmlns:c16="http://schemas.microsoft.com/office/drawing/2014/chart" uri="{C3380CC4-5D6E-409C-BE32-E72D297353CC}">
              <c16:uniqueId val="{00000000-9372-4AD5-B00C-B08323E83D31}"/>
            </c:ext>
          </c:extLst>
        </c:ser>
        <c:dLbls>
          <c:showLegendKey val="0"/>
          <c:showVal val="0"/>
          <c:showCatName val="0"/>
          <c:showSerName val="0"/>
          <c:showPercent val="0"/>
          <c:showBubbleSize val="0"/>
        </c:dLbls>
        <c:gapWidth val="182"/>
        <c:axId val="540115184"/>
        <c:axId val="540121840"/>
      </c:barChart>
      <c:catAx>
        <c:axId val="54011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0121840"/>
        <c:crosses val="autoZero"/>
        <c:auto val="1"/>
        <c:lblAlgn val="ctr"/>
        <c:lblOffset val="100"/>
        <c:noMultiLvlLbl val="0"/>
      </c:catAx>
      <c:valAx>
        <c:axId val="54012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011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6FFCC"/>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[treatments.xlsx]Sheet2!PivotTable4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Reason for treatment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FC-4D4B-9B3E-40C3AD2B35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FC-4D4B-9B3E-40C3AD2B35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FC-4D4B-9B3E-40C3AD2B35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FC-4D4B-9B3E-40C3AD2B35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FC-4D4B-9B3E-40C3AD2B35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5FC-4D4B-9B3E-40C3AD2B359C}"/>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Sheet2!$A$4:$A$5</c:f>
              <c:strCache>
                <c:ptCount val="1"/>
                <c:pt idx="0">
                  <c:v>Follow-up</c:v>
                </c:pt>
              </c:strCache>
            </c:strRef>
          </c:cat>
          <c:val>
            <c:numRef>
              <c:f>Sheet2!$B$4:$B$5</c:f>
              <c:numCache>
                <c:formatCode>General</c:formatCode>
                <c:ptCount val="1"/>
                <c:pt idx="0">
                  <c:v>2</c:v>
                </c:pt>
              </c:numCache>
            </c:numRef>
          </c:val>
          <c:extLst>
            <c:ext xmlns:c16="http://schemas.microsoft.com/office/drawing/2014/chart" uri="{C3380CC4-5D6E-409C-BE32-E72D297353CC}">
              <c16:uniqueId val="{0000000C-75FC-4D4B-9B3E-40C3AD2B359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6FFCC"/>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[treatments.xlsx]Sheet5!PivotTable5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Doctor 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rgbClr val="8E0000"/>
            </a:solidFill>
            <a:ln>
              <a:noFill/>
            </a:ln>
            <a:effectLst/>
          </c:spPr>
          <c:invertIfNegative val="0"/>
          <c:cat>
            <c:strRef>
              <c:f>Sheet5!$A$4:$A$5</c:f>
              <c:strCache>
                <c:ptCount val="1"/>
                <c:pt idx="0">
                  <c:v>Linda</c:v>
                </c:pt>
              </c:strCache>
            </c:strRef>
          </c:cat>
          <c:val>
            <c:numRef>
              <c:f>Sheet5!$B$4:$B$5</c:f>
              <c:numCache>
                <c:formatCode>General</c:formatCode>
                <c:ptCount val="1"/>
                <c:pt idx="0">
                  <c:v>2</c:v>
                </c:pt>
              </c:numCache>
            </c:numRef>
          </c:val>
          <c:extLst>
            <c:ext xmlns:c16="http://schemas.microsoft.com/office/drawing/2014/chart" uri="{C3380CC4-5D6E-409C-BE32-E72D297353CC}">
              <c16:uniqueId val="{00000000-FE2F-4B02-958E-5F4A56F75A3E}"/>
            </c:ext>
          </c:extLst>
        </c:ser>
        <c:dLbls>
          <c:showLegendKey val="0"/>
          <c:showVal val="0"/>
          <c:showCatName val="0"/>
          <c:showSerName val="0"/>
          <c:showPercent val="0"/>
          <c:showBubbleSize val="0"/>
        </c:dLbls>
        <c:gapWidth val="182"/>
        <c:axId val="116776480"/>
        <c:axId val="116768576"/>
      </c:barChart>
      <c:catAx>
        <c:axId val="11677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768576"/>
        <c:crosses val="autoZero"/>
        <c:auto val="1"/>
        <c:lblAlgn val="ctr"/>
        <c:lblOffset val="100"/>
        <c:noMultiLvlLbl val="0"/>
      </c:catAx>
      <c:valAx>
        <c:axId val="11676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77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EEEB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[treatments.xlsx]Sheet4!PivotTable4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Department 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rgbClr val="8E0000"/>
            </a:solidFill>
            <a:ln>
              <a:noFill/>
            </a:ln>
            <a:effectLst/>
          </c:spPr>
          <c:invertIfNegative val="0"/>
          <c:cat>
            <c:strRef>
              <c:f>Sheet4!$A$4:$A$5</c:f>
              <c:strCache>
                <c:ptCount val="1"/>
                <c:pt idx="0">
                  <c:v>Oncology</c:v>
                </c:pt>
              </c:strCache>
            </c:strRef>
          </c:cat>
          <c:val>
            <c:numRef>
              <c:f>Sheet4!$B$4:$B$5</c:f>
              <c:numCache>
                <c:formatCode>General</c:formatCode>
                <c:ptCount val="1"/>
                <c:pt idx="0">
                  <c:v>2</c:v>
                </c:pt>
              </c:numCache>
            </c:numRef>
          </c:val>
          <c:extLst>
            <c:ext xmlns:c16="http://schemas.microsoft.com/office/drawing/2014/chart" uri="{C3380CC4-5D6E-409C-BE32-E72D297353CC}">
              <c16:uniqueId val="{00000000-00D2-45D4-B8BF-2E6484B04630}"/>
            </c:ext>
          </c:extLst>
        </c:ser>
        <c:dLbls>
          <c:showLegendKey val="0"/>
          <c:showVal val="0"/>
          <c:showCatName val="0"/>
          <c:showSerName val="0"/>
          <c:showPercent val="0"/>
          <c:showBubbleSize val="0"/>
        </c:dLbls>
        <c:gapWidth val="182"/>
        <c:axId val="111376400"/>
        <c:axId val="111363088"/>
      </c:barChart>
      <c:catAx>
        <c:axId val="11137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363088"/>
        <c:crosses val="autoZero"/>
        <c:auto val="1"/>
        <c:lblAlgn val="ctr"/>
        <c:lblOffset val="100"/>
        <c:noMultiLvlLbl val="0"/>
      </c:catAx>
      <c:valAx>
        <c:axId val="11136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37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EEEB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863600</xdr:colOff>
      <xdr:row>2</xdr:row>
      <xdr:rowOff>130175</xdr:rowOff>
    </xdr:from>
    <xdr:to>
      <xdr:col>12</xdr:col>
      <xdr:colOff>241300</xdr:colOff>
      <xdr:row>17</xdr:row>
      <xdr:rowOff>111125</xdr:rowOff>
    </xdr:to>
    <xdr:graphicFrame macro="">
      <xdr:nvGraphicFramePr>
        <xdr:cNvPr id="2" name="Chart 1">
          <a:extLst>
            <a:ext uri="{FF2B5EF4-FFF2-40B4-BE49-F238E27FC236}">
              <a16:creationId xmlns:a16="http://schemas.microsoft.com/office/drawing/2014/main" id="{8EB589C3-7724-AD71-4149-34809B5CE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863600</xdr:colOff>
      <xdr:row>4</xdr:row>
      <xdr:rowOff>130175</xdr:rowOff>
    </xdr:from>
    <xdr:to>
      <xdr:col>8</xdr:col>
      <xdr:colOff>565150</xdr:colOff>
      <xdr:row>19</xdr:row>
      <xdr:rowOff>111125</xdr:rowOff>
    </xdr:to>
    <xdr:graphicFrame macro="">
      <xdr:nvGraphicFramePr>
        <xdr:cNvPr id="2" name="Chart 1">
          <a:extLst>
            <a:ext uri="{FF2B5EF4-FFF2-40B4-BE49-F238E27FC236}">
              <a16:creationId xmlns:a16="http://schemas.microsoft.com/office/drawing/2014/main" id="{5AF1ED14-411A-DC4F-632B-0ABA3B49C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254000</xdr:colOff>
      <xdr:row>2</xdr:row>
      <xdr:rowOff>171450</xdr:rowOff>
    </xdr:from>
    <xdr:to>
      <xdr:col>9</xdr:col>
      <xdr:colOff>558800</xdr:colOff>
      <xdr:row>17</xdr:row>
      <xdr:rowOff>152400</xdr:rowOff>
    </xdr:to>
    <xdr:graphicFrame macro="">
      <xdr:nvGraphicFramePr>
        <xdr:cNvPr id="3" name="Chart 2">
          <a:extLst>
            <a:ext uri="{FF2B5EF4-FFF2-40B4-BE49-F238E27FC236}">
              <a16:creationId xmlns:a16="http://schemas.microsoft.com/office/drawing/2014/main" id="{9B2255BE-63C3-117F-FEAE-60DFE43B2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31750</xdr:colOff>
      <xdr:row>0</xdr:row>
      <xdr:rowOff>31750</xdr:rowOff>
    </xdr:from>
    <xdr:to>
      <xdr:col>13</xdr:col>
      <xdr:colOff>317500</xdr:colOff>
      <xdr:row>7</xdr:row>
      <xdr:rowOff>114300</xdr:rowOff>
    </xdr:to>
    <mc:AlternateContent xmlns:mc="http://schemas.openxmlformats.org/markup-compatibility/2006">
      <mc:Choice xmlns:tsle="http://schemas.microsoft.com/office/drawing/2012/timeslicer" Requires="tsle">
        <xdr:graphicFrame macro="">
          <xdr:nvGraphicFramePr>
            <xdr:cNvPr id="4" name="treatment_date">
              <a:extLst>
                <a:ext uri="{FF2B5EF4-FFF2-40B4-BE49-F238E27FC236}">
                  <a16:creationId xmlns:a16="http://schemas.microsoft.com/office/drawing/2014/main" id="{C9F04448-D760-8CC3-0BB1-2B77D594E0DA}"/>
                </a:ext>
              </a:extLst>
            </xdr:cNvPr>
            <xdr:cNvGraphicFramePr/>
          </xdr:nvGraphicFramePr>
          <xdr:xfrm>
            <a:off x="0" y="0"/>
            <a:ext cx="0" cy="0"/>
          </xdr:xfrm>
          <a:graphic>
            <a:graphicData uri="http://schemas.microsoft.com/office/drawing/2012/timeslicer">
              <tsle:timeslicer xmlns:tsle="http://schemas.microsoft.com/office/drawing/2012/timeslicer" name="treatment_date"/>
            </a:graphicData>
          </a:graphic>
        </xdr:graphicFrame>
      </mc:Choice>
      <mc:Fallback>
        <xdr:sp macro="" textlink="">
          <xdr:nvSpPr>
            <xdr:cNvPr id="0" name=""/>
            <xdr:cNvSpPr>
              <a:spLocks noTextEdit="1"/>
            </xdr:cNvSpPr>
          </xdr:nvSpPr>
          <xdr:spPr>
            <a:xfrm>
              <a:off x="5308600" y="317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685800</xdr:colOff>
      <xdr:row>6</xdr:row>
      <xdr:rowOff>12701</xdr:rowOff>
    </xdr:from>
    <xdr:to>
      <xdr:col>4</xdr:col>
      <xdr:colOff>558800</xdr:colOff>
      <xdr:row>9</xdr:row>
      <xdr:rowOff>31751</xdr:rowOff>
    </xdr:to>
    <mc:AlternateContent xmlns:mc="http://schemas.openxmlformats.org/markup-compatibility/2006">
      <mc:Choice xmlns:a14="http://schemas.microsoft.com/office/drawing/2010/main" Requires="a14">
        <xdr:graphicFrame macro="">
          <xdr:nvGraphicFramePr>
            <xdr:cNvPr id="5" name="description">
              <a:extLst>
                <a:ext uri="{FF2B5EF4-FFF2-40B4-BE49-F238E27FC236}">
                  <a16:creationId xmlns:a16="http://schemas.microsoft.com/office/drawing/2014/main" id="{8F6A6006-ED93-165D-BFA4-6D77828817CD}"/>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dr:sp macro="" textlink="">
          <xdr:nvSpPr>
            <xdr:cNvPr id="0" name=""/>
            <xdr:cNvSpPr>
              <a:spLocks noTextEdit="1"/>
            </xdr:cNvSpPr>
          </xdr:nvSpPr>
          <xdr:spPr>
            <a:xfrm>
              <a:off x="1568450" y="1117601"/>
              <a:ext cx="182880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3</xdr:row>
      <xdr:rowOff>127001</xdr:rowOff>
    </xdr:from>
    <xdr:to>
      <xdr:col>8</xdr:col>
      <xdr:colOff>38100</xdr:colOff>
      <xdr:row>6</xdr:row>
      <xdr:rowOff>158750</xdr:rowOff>
    </xdr:to>
    <mc:AlternateContent xmlns:mc="http://schemas.openxmlformats.org/markup-compatibility/2006">
      <mc:Choice xmlns:a14="http://schemas.microsoft.com/office/drawing/2010/main" Requires="a14">
        <xdr:graphicFrame macro="">
          <xdr:nvGraphicFramePr>
            <xdr:cNvPr id="6" name="Gender ">
              <a:extLst>
                <a:ext uri="{FF2B5EF4-FFF2-40B4-BE49-F238E27FC236}">
                  <a16:creationId xmlns:a16="http://schemas.microsoft.com/office/drawing/2014/main" id="{FF8D4D98-0C83-217C-22C0-D7ED885EB8C8}"/>
                </a:ext>
              </a:extLst>
            </xdr:cNvPr>
            <xdr:cNvGraphicFramePr/>
          </xdr:nvGraphicFramePr>
          <xdr:xfrm>
            <a:off x="0" y="0"/>
            <a:ext cx="0" cy="0"/>
          </xdr:xfrm>
          <a:graphic>
            <a:graphicData uri="http://schemas.microsoft.com/office/drawing/2010/slicer">
              <sle:slicer xmlns:sle="http://schemas.microsoft.com/office/drawing/2010/slicer" name="Gender "/>
            </a:graphicData>
          </a:graphic>
        </xdr:graphicFrame>
      </mc:Choice>
      <mc:Fallback>
        <xdr:sp macro="" textlink="">
          <xdr:nvSpPr>
            <xdr:cNvPr id="0" name=""/>
            <xdr:cNvSpPr>
              <a:spLocks noTextEdit="1"/>
            </xdr:cNvSpPr>
          </xdr:nvSpPr>
          <xdr:spPr>
            <a:xfrm>
              <a:off x="3486150" y="679451"/>
              <a:ext cx="1828800" cy="584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165100</xdr:colOff>
      <xdr:row>6</xdr:row>
      <xdr:rowOff>114300</xdr:rowOff>
    </xdr:from>
    <xdr:to>
      <xdr:col>11</xdr:col>
      <xdr:colOff>165100</xdr:colOff>
      <xdr:row>14</xdr:row>
      <xdr:rowOff>101599</xdr:rowOff>
    </xdr:to>
    <mc:AlternateContent xmlns:mc="http://schemas.openxmlformats.org/markup-compatibility/2006">
      <mc:Choice xmlns:a14="http://schemas.microsoft.com/office/drawing/2010/main" Requires="a14">
        <xdr:graphicFrame macro="">
          <xdr:nvGraphicFramePr>
            <xdr:cNvPr id="7" name="Insuarance">
              <a:extLst>
                <a:ext uri="{FF2B5EF4-FFF2-40B4-BE49-F238E27FC236}">
                  <a16:creationId xmlns:a16="http://schemas.microsoft.com/office/drawing/2014/main" id="{8D2489D1-7661-139A-0D8A-DC59AE234F20}"/>
                </a:ext>
              </a:extLst>
            </xdr:cNvPr>
            <xdr:cNvGraphicFramePr/>
          </xdr:nvGraphicFramePr>
          <xdr:xfrm>
            <a:off x="0" y="0"/>
            <a:ext cx="0" cy="0"/>
          </xdr:xfrm>
          <a:graphic>
            <a:graphicData uri="http://schemas.microsoft.com/office/drawing/2010/slicer">
              <sle:slicer xmlns:sle="http://schemas.microsoft.com/office/drawing/2010/slicer" name="Insuarance"/>
            </a:graphicData>
          </a:graphic>
        </xdr:graphicFrame>
      </mc:Choice>
      <mc:Fallback>
        <xdr:sp macro="" textlink="">
          <xdr:nvSpPr>
            <xdr:cNvPr id="0" name=""/>
            <xdr:cNvSpPr>
              <a:spLocks noTextEdit="1"/>
            </xdr:cNvSpPr>
          </xdr:nvSpPr>
          <xdr:spPr>
            <a:xfrm>
              <a:off x="5441950" y="1219200"/>
              <a:ext cx="1828800" cy="1460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8</xdr:row>
      <xdr:rowOff>165100</xdr:rowOff>
    </xdr:from>
    <xdr:to>
      <xdr:col>7</xdr:col>
      <xdr:colOff>165100</xdr:colOff>
      <xdr:row>19</xdr:row>
      <xdr:rowOff>57150</xdr:rowOff>
    </xdr:to>
    <xdr:graphicFrame macro="">
      <xdr:nvGraphicFramePr>
        <xdr:cNvPr id="2" name="Chart 1">
          <a:extLst>
            <a:ext uri="{FF2B5EF4-FFF2-40B4-BE49-F238E27FC236}">
              <a16:creationId xmlns:a16="http://schemas.microsoft.com/office/drawing/2014/main" id="{29ACC453-389E-B7F3-0F8A-C1D8C2E53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25400</xdr:colOff>
      <xdr:row>7</xdr:row>
      <xdr:rowOff>168275</xdr:rowOff>
    </xdr:from>
    <xdr:to>
      <xdr:col>9</xdr:col>
      <xdr:colOff>330200</xdr:colOff>
      <xdr:row>22</xdr:row>
      <xdr:rowOff>149225</xdr:rowOff>
    </xdr:to>
    <xdr:graphicFrame macro="">
      <xdr:nvGraphicFramePr>
        <xdr:cNvPr id="2" name="Chart 1">
          <a:extLst>
            <a:ext uri="{FF2B5EF4-FFF2-40B4-BE49-F238E27FC236}">
              <a16:creationId xmlns:a16="http://schemas.microsoft.com/office/drawing/2014/main" id="{461306EE-846B-15AE-B63D-DFF370E72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8581</xdr:colOff>
      <xdr:row>1</xdr:row>
      <xdr:rowOff>82550</xdr:rowOff>
    </xdr:from>
    <xdr:to>
      <xdr:col>19</xdr:col>
      <xdr:colOff>68649</xdr:colOff>
      <xdr:row>5</xdr:row>
      <xdr:rowOff>82550</xdr:rowOff>
    </xdr:to>
    <xdr:sp macro="" textlink="">
      <xdr:nvSpPr>
        <xdr:cNvPr id="2" name="Rectangle 1">
          <a:extLst>
            <a:ext uri="{FF2B5EF4-FFF2-40B4-BE49-F238E27FC236}">
              <a16:creationId xmlns:a16="http://schemas.microsoft.com/office/drawing/2014/main" id="{CC7CA0ED-2FB8-D05E-70C8-E1A13E935504}"/>
            </a:ext>
          </a:extLst>
        </xdr:cNvPr>
        <xdr:cNvSpPr/>
      </xdr:nvSpPr>
      <xdr:spPr>
        <a:xfrm>
          <a:off x="3166419" y="142618"/>
          <a:ext cx="7482703" cy="720810"/>
        </a:xfrm>
        <a:prstGeom prst="rect">
          <a:avLst/>
        </a:prstGeom>
        <a:solidFill>
          <a:srgbClr val="1EE6A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a:solidFill>
                <a:schemeClr val="bg1"/>
              </a:solidFill>
              <a:latin typeface="Franklin Gothic Heavy" panose="020B0903020102020204" pitchFamily="34" charset="0"/>
            </a:rPr>
            <a:t>HOSPITAL</a:t>
          </a:r>
          <a:r>
            <a:rPr lang="en-US" sz="2800" b="1" i="1" baseline="0">
              <a:solidFill>
                <a:schemeClr val="bg1"/>
              </a:solidFill>
              <a:latin typeface="Franklin Gothic Heavy" panose="020B0903020102020204" pitchFamily="34" charset="0"/>
            </a:rPr>
            <a:t> MANAGEMENT DASHBOARD</a:t>
          </a:r>
          <a:endParaRPr lang="en-US" sz="2800" b="1" i="1">
            <a:solidFill>
              <a:schemeClr val="bg1"/>
            </a:solidFill>
            <a:latin typeface="Franklin Gothic Heavy" panose="020B0903020102020204" pitchFamily="34" charset="0"/>
          </a:endParaRPr>
        </a:p>
      </xdr:txBody>
    </xdr:sp>
    <xdr:clientData/>
  </xdr:twoCellAnchor>
  <xdr:twoCellAnchor editAs="oneCell">
    <xdr:from>
      <xdr:col>6</xdr:col>
      <xdr:colOff>17163</xdr:colOff>
      <xdr:row>5</xdr:row>
      <xdr:rowOff>102973</xdr:rowOff>
    </xdr:from>
    <xdr:to>
      <xdr:col>19</xdr:col>
      <xdr:colOff>77230</xdr:colOff>
      <xdr:row>13</xdr:row>
      <xdr:rowOff>110181</xdr:rowOff>
    </xdr:to>
    <mc:AlternateContent xmlns:mc="http://schemas.openxmlformats.org/markup-compatibility/2006">
      <mc:Choice xmlns:tsle="http://schemas.microsoft.com/office/drawing/2012/timeslicer" Requires="tsle">
        <xdr:graphicFrame macro="">
          <xdr:nvGraphicFramePr>
            <xdr:cNvPr id="11" name="treatment_date 1">
              <a:extLst>
                <a:ext uri="{FF2B5EF4-FFF2-40B4-BE49-F238E27FC236}">
                  <a16:creationId xmlns:a16="http://schemas.microsoft.com/office/drawing/2014/main" id="{69D9CFB4-7343-4ECA-A13C-5CDECF5407C7}"/>
                </a:ext>
              </a:extLst>
            </xdr:cNvPr>
            <xdr:cNvGraphicFramePr/>
          </xdr:nvGraphicFramePr>
          <xdr:xfrm>
            <a:off x="0" y="0"/>
            <a:ext cx="0" cy="0"/>
          </xdr:xfrm>
          <a:graphic>
            <a:graphicData uri="http://schemas.microsoft.com/office/drawing/2012/timeslicer">
              <tsle:timeslicer xmlns:tsle="http://schemas.microsoft.com/office/drawing/2012/timeslicer" name="treatment_date 1"/>
            </a:graphicData>
          </a:graphic>
        </xdr:graphicFrame>
      </mc:Choice>
      <mc:Fallback>
        <xdr:sp macro="" textlink="">
          <xdr:nvSpPr>
            <xdr:cNvPr id="0" name=""/>
            <xdr:cNvSpPr>
              <a:spLocks noTextEdit="1"/>
            </xdr:cNvSpPr>
          </xdr:nvSpPr>
          <xdr:spPr>
            <a:xfrm>
              <a:off x="3163299" y="911155"/>
              <a:ext cx="7449158" cy="15081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17163</xdr:colOff>
      <xdr:row>13</xdr:row>
      <xdr:rowOff>77230</xdr:rowOff>
    </xdr:from>
    <xdr:to>
      <xdr:col>19</xdr:col>
      <xdr:colOff>94392</xdr:colOff>
      <xdr:row>17</xdr:row>
      <xdr:rowOff>30892</xdr:rowOff>
    </xdr:to>
    <mc:AlternateContent xmlns:mc="http://schemas.openxmlformats.org/markup-compatibility/2006">
      <mc:Choice xmlns:a14="http://schemas.microsoft.com/office/drawing/2010/main" Requires="a14">
        <xdr:graphicFrame macro="">
          <xdr:nvGraphicFramePr>
            <xdr:cNvPr id="12" name="description 1">
              <a:extLst>
                <a:ext uri="{FF2B5EF4-FFF2-40B4-BE49-F238E27FC236}">
                  <a16:creationId xmlns:a16="http://schemas.microsoft.com/office/drawing/2014/main" id="{E3C3B962-27C6-4198-B45C-26D61587B3B4}"/>
                </a:ext>
              </a:extLst>
            </xdr:cNvPr>
            <xdr:cNvGraphicFramePr/>
          </xdr:nvGraphicFramePr>
          <xdr:xfrm>
            <a:off x="0" y="0"/>
            <a:ext cx="0" cy="0"/>
          </xdr:xfrm>
          <a:graphic>
            <a:graphicData uri="http://schemas.microsoft.com/office/drawing/2010/slicer">
              <sle:slicer xmlns:sle="http://schemas.microsoft.com/office/drawing/2010/slicer" name="description 1"/>
            </a:graphicData>
          </a:graphic>
        </xdr:graphicFrame>
      </mc:Choice>
      <mc:Fallback>
        <xdr:sp macro="" textlink="">
          <xdr:nvSpPr>
            <xdr:cNvPr id="0" name=""/>
            <xdr:cNvSpPr>
              <a:spLocks noTextEdit="1"/>
            </xdr:cNvSpPr>
          </xdr:nvSpPr>
          <xdr:spPr>
            <a:xfrm>
              <a:off x="3163299" y="2386321"/>
              <a:ext cx="7466320" cy="704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187395</xdr:colOff>
      <xdr:row>29</xdr:row>
      <xdr:rowOff>64858</xdr:rowOff>
    </xdr:from>
    <xdr:to>
      <xdr:col>19</xdr:col>
      <xdr:colOff>101023</xdr:colOff>
      <xdr:row>37</xdr:row>
      <xdr:rowOff>83736</xdr:rowOff>
    </xdr:to>
    <mc:AlternateContent xmlns:mc="http://schemas.openxmlformats.org/markup-compatibility/2006">
      <mc:Choice xmlns:a14="http://schemas.microsoft.com/office/drawing/2010/main" Requires="a14">
        <xdr:graphicFrame macro="">
          <xdr:nvGraphicFramePr>
            <xdr:cNvPr id="13" name="Insuarance 1">
              <a:extLst>
                <a:ext uri="{FF2B5EF4-FFF2-40B4-BE49-F238E27FC236}">
                  <a16:creationId xmlns:a16="http://schemas.microsoft.com/office/drawing/2014/main" id="{2BF0B9EF-89F9-4370-96C0-542BC70A2E9A}"/>
                </a:ext>
              </a:extLst>
            </xdr:cNvPr>
            <xdr:cNvGraphicFramePr/>
          </xdr:nvGraphicFramePr>
          <xdr:xfrm>
            <a:off x="0" y="0"/>
            <a:ext cx="0" cy="0"/>
          </xdr:xfrm>
          <a:graphic>
            <a:graphicData uri="http://schemas.microsoft.com/office/drawing/2010/slicer">
              <sle:slicer xmlns:sle="http://schemas.microsoft.com/office/drawing/2010/slicer" name="Insuarance 1"/>
            </a:graphicData>
          </a:graphic>
        </xdr:graphicFrame>
      </mc:Choice>
      <mc:Fallback>
        <xdr:sp macro="" textlink="">
          <xdr:nvSpPr>
            <xdr:cNvPr id="0" name=""/>
            <xdr:cNvSpPr>
              <a:spLocks noTextEdit="1"/>
            </xdr:cNvSpPr>
          </xdr:nvSpPr>
          <xdr:spPr>
            <a:xfrm>
              <a:off x="7691940" y="5375767"/>
              <a:ext cx="2944310" cy="1519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600676</xdr:colOff>
      <xdr:row>16</xdr:row>
      <xdr:rowOff>120134</xdr:rowOff>
    </xdr:from>
    <xdr:to>
      <xdr:col>14</xdr:col>
      <xdr:colOff>264297</xdr:colOff>
      <xdr:row>28</xdr:row>
      <xdr:rowOff>177456</xdr:rowOff>
    </xdr:to>
    <xdr:graphicFrame macro="">
      <xdr:nvGraphicFramePr>
        <xdr:cNvPr id="14" name="Chart 13">
          <a:extLst>
            <a:ext uri="{FF2B5EF4-FFF2-40B4-BE49-F238E27FC236}">
              <a16:creationId xmlns:a16="http://schemas.microsoft.com/office/drawing/2014/main" id="{14C5CBD8-3515-4344-92D0-6278BAB3C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274205</xdr:colOff>
      <xdr:row>17</xdr:row>
      <xdr:rowOff>57727</xdr:rowOff>
    </xdr:from>
    <xdr:to>
      <xdr:col>19</xdr:col>
      <xdr:colOff>101023</xdr:colOff>
      <xdr:row>20</xdr:row>
      <xdr:rowOff>79085</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A51CA95A-87B5-4CBB-92C8-B4BCB5CEC0C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778750" y="3117272"/>
              <a:ext cx="2857500" cy="584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245341</xdr:colOff>
      <xdr:row>20</xdr:row>
      <xdr:rowOff>86591</xdr:rowOff>
    </xdr:from>
    <xdr:to>
      <xdr:col>19</xdr:col>
      <xdr:colOff>86591</xdr:colOff>
      <xdr:row>29</xdr:row>
      <xdr:rowOff>0</xdr:rowOff>
    </xdr:to>
    <xdr:graphicFrame macro="">
      <xdr:nvGraphicFramePr>
        <xdr:cNvPr id="17" name="Chart 16">
          <a:extLst>
            <a:ext uri="{FF2B5EF4-FFF2-40B4-BE49-F238E27FC236}">
              <a16:creationId xmlns:a16="http://schemas.microsoft.com/office/drawing/2014/main" id="{DF0A45A7-EF52-460E-9DCF-CE4C0EDBC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591704</xdr:colOff>
      <xdr:row>29</xdr:row>
      <xdr:rowOff>14432</xdr:rowOff>
    </xdr:from>
    <xdr:to>
      <xdr:col>14</xdr:col>
      <xdr:colOff>199159</xdr:colOff>
      <xdr:row>46</xdr:row>
      <xdr:rowOff>173182</xdr:rowOff>
    </xdr:to>
    <xdr:graphicFrame macro="">
      <xdr:nvGraphicFramePr>
        <xdr:cNvPr id="18" name="Chart 17">
          <a:extLst>
            <a:ext uri="{FF2B5EF4-FFF2-40B4-BE49-F238E27FC236}">
              <a16:creationId xmlns:a16="http://schemas.microsoft.com/office/drawing/2014/main" id="{6F972F9F-39B8-4F44-8EC4-63928284F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202046</xdr:colOff>
      <xdr:row>37</xdr:row>
      <xdr:rowOff>0</xdr:rowOff>
    </xdr:from>
    <xdr:to>
      <xdr:col>19</xdr:col>
      <xdr:colOff>86591</xdr:colOff>
      <xdr:row>47</xdr:row>
      <xdr:rowOff>14430</xdr:rowOff>
    </xdr:to>
    <xdr:graphicFrame macro="">
      <xdr:nvGraphicFramePr>
        <xdr:cNvPr id="19" name="Chart 18">
          <a:extLst>
            <a:ext uri="{FF2B5EF4-FFF2-40B4-BE49-F238E27FC236}">
              <a16:creationId xmlns:a16="http://schemas.microsoft.com/office/drawing/2014/main" id="{C52265B1-7A92-4B0F-B023-380C229C9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appointments.csv" TargetMode="External"/><Relationship Id="rId1" Type="http://schemas.openxmlformats.org/officeDocument/2006/relationships/externalLinkPath" Target="/Users/ADMIN/Desktop/appointments.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DMIN\Documents\Datasets\Hospital%20Dataset\patients.csv" TargetMode="External"/><Relationship Id="rId1" Type="http://schemas.openxmlformats.org/officeDocument/2006/relationships/externalLinkPath" Target="patients.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DMIN\Documents\Datasets\Hospital%20Dataset\doctors.csv" TargetMode="External"/><Relationship Id="rId1" Type="http://schemas.openxmlformats.org/officeDocument/2006/relationships/externalLinkPath" Target="doctor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pointments"/>
    </sheetNames>
    <sheetDataSet>
      <sheetData sheetId="0">
        <row r="1">
          <cell r="A1" t="str">
            <v>appointment_id</v>
          </cell>
          <cell r="B1" t="str">
            <v>patient_id</v>
          </cell>
          <cell r="C1" t="str">
            <v>doctor_id</v>
          </cell>
          <cell r="D1" t="str">
            <v>appointment_date</v>
          </cell>
          <cell r="F1" t="str">
            <v>reason_for_visit</v>
          </cell>
          <cell r="G1" t="str">
            <v>status</v>
          </cell>
        </row>
        <row r="2">
          <cell r="A2" t="str">
            <v>A001</v>
          </cell>
          <cell r="B2" t="str">
            <v>P034</v>
          </cell>
          <cell r="C2" t="str">
            <v>D009</v>
          </cell>
          <cell r="D2">
            <v>45147</v>
          </cell>
          <cell r="F2" t="str">
            <v>Therapy</v>
          </cell>
          <cell r="G2" t="str">
            <v>Scheduled</v>
          </cell>
        </row>
        <row r="3">
          <cell r="A3" t="str">
            <v>A002</v>
          </cell>
          <cell r="B3" t="str">
            <v>P032</v>
          </cell>
          <cell r="C3" t="str">
            <v>D004</v>
          </cell>
          <cell r="D3">
            <v>45086</v>
          </cell>
          <cell r="F3" t="str">
            <v>Therapy</v>
          </cell>
          <cell r="G3" t="str">
            <v>No-show</v>
          </cell>
        </row>
        <row r="4">
          <cell r="A4" t="str">
            <v>A003</v>
          </cell>
          <cell r="B4" t="str">
            <v>P048</v>
          </cell>
          <cell r="C4" t="str">
            <v>D004</v>
          </cell>
          <cell r="D4">
            <v>45105</v>
          </cell>
          <cell r="F4" t="str">
            <v>Consultation</v>
          </cell>
          <cell r="G4" t="str">
            <v>Cancelled</v>
          </cell>
        </row>
        <row r="5">
          <cell r="A5" t="str">
            <v>A004</v>
          </cell>
          <cell r="B5" t="str">
            <v>P025</v>
          </cell>
          <cell r="C5" t="str">
            <v>D006</v>
          </cell>
          <cell r="D5">
            <v>45170</v>
          </cell>
          <cell r="F5" t="str">
            <v>Consultation</v>
          </cell>
          <cell r="G5" t="str">
            <v>Cancelled</v>
          </cell>
        </row>
        <row r="6">
          <cell r="A6" t="str">
            <v>A005</v>
          </cell>
          <cell r="B6" t="str">
            <v>P040</v>
          </cell>
          <cell r="C6" t="str">
            <v>D003</v>
          </cell>
          <cell r="D6">
            <v>45113</v>
          </cell>
          <cell r="F6" t="str">
            <v>Emergency</v>
          </cell>
          <cell r="G6" t="str">
            <v>No-show</v>
          </cell>
        </row>
        <row r="7">
          <cell r="A7" t="str">
            <v>A006</v>
          </cell>
          <cell r="B7" t="str">
            <v>P045</v>
          </cell>
          <cell r="C7" t="str">
            <v>D006</v>
          </cell>
          <cell r="D7">
            <v>45096</v>
          </cell>
          <cell r="F7" t="str">
            <v>Checkup</v>
          </cell>
          <cell r="G7" t="str">
            <v>Scheduled</v>
          </cell>
        </row>
        <row r="8">
          <cell r="A8" t="str">
            <v>A007</v>
          </cell>
          <cell r="B8" t="str">
            <v>P001</v>
          </cell>
          <cell r="C8" t="str">
            <v>D007</v>
          </cell>
          <cell r="D8">
            <v>45025</v>
          </cell>
          <cell r="F8" t="str">
            <v>Consultation</v>
          </cell>
          <cell r="G8" t="str">
            <v>Scheduled</v>
          </cell>
        </row>
        <row r="9">
          <cell r="A9" t="str">
            <v>A008</v>
          </cell>
          <cell r="B9" t="str">
            <v>P016</v>
          </cell>
          <cell r="C9" t="str">
            <v>D010</v>
          </cell>
          <cell r="D9">
            <v>45070</v>
          </cell>
          <cell r="F9" t="str">
            <v>Consultation</v>
          </cell>
          <cell r="G9" t="str">
            <v>Cancelled</v>
          </cell>
        </row>
        <row r="10">
          <cell r="A10" t="str">
            <v>A009</v>
          </cell>
          <cell r="B10" t="str">
            <v>P039</v>
          </cell>
          <cell r="C10" t="str">
            <v>D010</v>
          </cell>
          <cell r="D10">
            <v>44990</v>
          </cell>
          <cell r="F10" t="str">
            <v>Follow-up</v>
          </cell>
          <cell r="G10" t="str">
            <v>Scheduled</v>
          </cell>
        </row>
        <row r="11">
          <cell r="A11" t="str">
            <v>A010</v>
          </cell>
          <cell r="B11" t="str">
            <v>P005</v>
          </cell>
          <cell r="C11" t="str">
            <v>D003</v>
          </cell>
          <cell r="D11">
            <v>44939</v>
          </cell>
          <cell r="F11" t="str">
            <v>Therapy</v>
          </cell>
          <cell r="G11" t="str">
            <v>Completed</v>
          </cell>
        </row>
        <row r="12">
          <cell r="A12" t="str">
            <v>A011</v>
          </cell>
          <cell r="B12" t="str">
            <v>P022</v>
          </cell>
          <cell r="C12" t="str">
            <v>D007</v>
          </cell>
          <cell r="D12">
            <v>45242</v>
          </cell>
          <cell r="F12" t="str">
            <v>Checkup</v>
          </cell>
          <cell r="G12" t="str">
            <v>No-show</v>
          </cell>
        </row>
        <row r="13">
          <cell r="A13" t="str">
            <v>A012</v>
          </cell>
          <cell r="B13" t="str">
            <v>P029</v>
          </cell>
          <cell r="C13" t="str">
            <v>D003</v>
          </cell>
          <cell r="D13">
            <v>45053</v>
          </cell>
          <cell r="F13" t="str">
            <v>Follow-up</v>
          </cell>
          <cell r="G13" t="str">
            <v>Completed</v>
          </cell>
        </row>
        <row r="14">
          <cell r="A14" t="str">
            <v>A013</v>
          </cell>
          <cell r="B14" t="str">
            <v>P003</v>
          </cell>
          <cell r="C14" t="str">
            <v>D002</v>
          </cell>
          <cell r="D14">
            <v>45154</v>
          </cell>
          <cell r="F14" t="str">
            <v>Emergency</v>
          </cell>
          <cell r="G14" t="str">
            <v>Scheduled</v>
          </cell>
        </row>
        <row r="15">
          <cell r="A15" t="str">
            <v>A014</v>
          </cell>
          <cell r="B15" t="str">
            <v>P012</v>
          </cell>
          <cell r="C15" t="str">
            <v>D010</v>
          </cell>
          <cell r="D15">
            <v>45071</v>
          </cell>
          <cell r="F15" t="str">
            <v>Emergency</v>
          </cell>
          <cell r="G15" t="str">
            <v>Cancelled</v>
          </cell>
        </row>
        <row r="16">
          <cell r="A16" t="str">
            <v>A015</v>
          </cell>
          <cell r="B16" t="str">
            <v>P026</v>
          </cell>
          <cell r="C16" t="str">
            <v>D004</v>
          </cell>
          <cell r="D16">
            <v>44941</v>
          </cell>
          <cell r="F16" t="str">
            <v>Consultation</v>
          </cell>
          <cell r="G16" t="str">
            <v>No-show</v>
          </cell>
        </row>
        <row r="17">
          <cell r="A17" t="str">
            <v>A016</v>
          </cell>
          <cell r="B17" t="str">
            <v>P016</v>
          </cell>
          <cell r="C17" t="str">
            <v>D008</v>
          </cell>
          <cell r="D17">
            <v>45107</v>
          </cell>
          <cell r="F17" t="str">
            <v>Consultation</v>
          </cell>
          <cell r="G17" t="str">
            <v>Scheduled</v>
          </cell>
        </row>
        <row r="18">
          <cell r="A18" t="str">
            <v>A017</v>
          </cell>
          <cell r="B18" t="str">
            <v>P037</v>
          </cell>
          <cell r="C18" t="str">
            <v>D009</v>
          </cell>
          <cell r="D18">
            <v>45118</v>
          </cell>
          <cell r="F18" t="str">
            <v>Emergency</v>
          </cell>
          <cell r="G18" t="str">
            <v>Scheduled</v>
          </cell>
        </row>
        <row r="19">
          <cell r="A19" t="str">
            <v>A018</v>
          </cell>
          <cell r="B19" t="str">
            <v>P022</v>
          </cell>
          <cell r="C19" t="str">
            <v>D007</v>
          </cell>
          <cell r="D19">
            <v>45244</v>
          </cell>
          <cell r="F19" t="str">
            <v>Consultation</v>
          </cell>
          <cell r="G19" t="str">
            <v>Cancelled</v>
          </cell>
        </row>
        <row r="20">
          <cell r="A20" t="str">
            <v>A019</v>
          </cell>
          <cell r="B20" t="str">
            <v>P029</v>
          </cell>
          <cell r="C20" t="str">
            <v>D001</v>
          </cell>
          <cell r="D20">
            <v>44963</v>
          </cell>
          <cell r="F20" t="str">
            <v>Checkup</v>
          </cell>
          <cell r="G20" t="str">
            <v>Cancelled</v>
          </cell>
        </row>
        <row r="21">
          <cell r="A21" t="str">
            <v>A020</v>
          </cell>
          <cell r="B21" t="str">
            <v>P014</v>
          </cell>
          <cell r="C21" t="str">
            <v>D003</v>
          </cell>
          <cell r="D21">
            <v>45265</v>
          </cell>
          <cell r="F21" t="str">
            <v>Consultation</v>
          </cell>
          <cell r="G21" t="str">
            <v>Completed</v>
          </cell>
        </row>
        <row r="22">
          <cell r="A22" t="str">
            <v>A021</v>
          </cell>
          <cell r="B22" t="str">
            <v>P028</v>
          </cell>
          <cell r="C22" t="str">
            <v>D009</v>
          </cell>
          <cell r="D22">
            <v>45040</v>
          </cell>
          <cell r="F22" t="str">
            <v>Therapy</v>
          </cell>
          <cell r="G22" t="str">
            <v>No-show</v>
          </cell>
        </row>
        <row r="23">
          <cell r="A23" t="str">
            <v>A022</v>
          </cell>
          <cell r="B23" t="str">
            <v>P005</v>
          </cell>
          <cell r="C23" t="str">
            <v>D001</v>
          </cell>
          <cell r="D23">
            <v>45244</v>
          </cell>
          <cell r="F23" t="str">
            <v>Consultation</v>
          </cell>
          <cell r="G23" t="str">
            <v>No-show</v>
          </cell>
        </row>
        <row r="24">
          <cell r="A24" t="str">
            <v>A023</v>
          </cell>
          <cell r="B24" t="str">
            <v>P047</v>
          </cell>
          <cell r="C24" t="str">
            <v>D009</v>
          </cell>
          <cell r="D24">
            <v>45055</v>
          </cell>
          <cell r="F24" t="str">
            <v>Follow-up</v>
          </cell>
          <cell r="G24" t="str">
            <v>Cancelled</v>
          </cell>
        </row>
        <row r="25">
          <cell r="A25" t="str">
            <v>A024</v>
          </cell>
          <cell r="B25" t="str">
            <v>P049</v>
          </cell>
          <cell r="C25" t="str">
            <v>D008</v>
          </cell>
          <cell r="D25">
            <v>45098</v>
          </cell>
          <cell r="F25" t="str">
            <v>Checkup</v>
          </cell>
          <cell r="G25" t="str">
            <v>Completed</v>
          </cell>
        </row>
        <row r="26">
          <cell r="A26" t="str">
            <v>A025</v>
          </cell>
          <cell r="B26" t="str">
            <v>P030</v>
          </cell>
          <cell r="C26" t="str">
            <v>D001</v>
          </cell>
          <cell r="D26">
            <v>44982</v>
          </cell>
          <cell r="F26" t="str">
            <v>Follow-up</v>
          </cell>
          <cell r="G26" t="str">
            <v>No-show</v>
          </cell>
        </row>
        <row r="27">
          <cell r="A27" t="str">
            <v>A026</v>
          </cell>
          <cell r="B27" t="str">
            <v>P046</v>
          </cell>
          <cell r="C27" t="str">
            <v>D006</v>
          </cell>
          <cell r="D27">
            <v>45002</v>
          </cell>
          <cell r="F27" t="str">
            <v>Follow-up</v>
          </cell>
          <cell r="G27" t="str">
            <v>Cancelled</v>
          </cell>
        </row>
        <row r="28">
          <cell r="A28" t="str">
            <v>A027</v>
          </cell>
          <cell r="B28" t="str">
            <v>P005</v>
          </cell>
          <cell r="C28" t="str">
            <v>D005</v>
          </cell>
          <cell r="D28">
            <v>45244</v>
          </cell>
          <cell r="F28" t="str">
            <v>Therapy</v>
          </cell>
          <cell r="G28" t="str">
            <v>Scheduled</v>
          </cell>
        </row>
        <row r="29">
          <cell r="A29" t="str">
            <v>A028</v>
          </cell>
          <cell r="B29" t="str">
            <v>P012</v>
          </cell>
          <cell r="C29" t="str">
            <v>D006</v>
          </cell>
          <cell r="D29">
            <v>45228</v>
          </cell>
          <cell r="F29" t="str">
            <v>Checkup</v>
          </cell>
          <cell r="G29" t="str">
            <v>No-show</v>
          </cell>
        </row>
        <row r="30">
          <cell r="A30" t="str">
            <v>A029</v>
          </cell>
          <cell r="B30" t="str">
            <v>P016</v>
          </cell>
          <cell r="C30" t="str">
            <v>D010</v>
          </cell>
          <cell r="D30">
            <v>45102</v>
          </cell>
          <cell r="F30" t="str">
            <v>Checkup</v>
          </cell>
          <cell r="G30" t="str">
            <v>Completed</v>
          </cell>
        </row>
        <row r="31">
          <cell r="A31" t="str">
            <v>A030</v>
          </cell>
          <cell r="B31" t="str">
            <v>P026</v>
          </cell>
          <cell r="C31" t="str">
            <v>D005</v>
          </cell>
          <cell r="D31">
            <v>45167</v>
          </cell>
          <cell r="F31" t="str">
            <v>Checkup</v>
          </cell>
          <cell r="G31" t="str">
            <v>Completed</v>
          </cell>
        </row>
        <row r="32">
          <cell r="A32" t="str">
            <v>A031</v>
          </cell>
          <cell r="B32" t="str">
            <v>P026</v>
          </cell>
          <cell r="C32" t="str">
            <v>D006</v>
          </cell>
          <cell r="D32">
            <v>45020</v>
          </cell>
          <cell r="F32" t="str">
            <v>Checkup</v>
          </cell>
          <cell r="G32" t="str">
            <v>Completed</v>
          </cell>
        </row>
        <row r="33">
          <cell r="A33" t="str">
            <v>A032</v>
          </cell>
          <cell r="B33" t="str">
            <v>P048</v>
          </cell>
          <cell r="C33" t="str">
            <v>D005</v>
          </cell>
          <cell r="D33">
            <v>45236</v>
          </cell>
          <cell r="F33" t="str">
            <v>Checkup</v>
          </cell>
          <cell r="G33" t="str">
            <v>Scheduled</v>
          </cell>
        </row>
        <row r="34">
          <cell r="A34" t="str">
            <v>A033</v>
          </cell>
          <cell r="B34" t="str">
            <v>P021</v>
          </cell>
          <cell r="C34" t="str">
            <v>D005</v>
          </cell>
          <cell r="D34">
            <v>45192</v>
          </cell>
          <cell r="F34" t="str">
            <v>Therapy</v>
          </cell>
          <cell r="G34" t="str">
            <v>No-show</v>
          </cell>
        </row>
        <row r="35">
          <cell r="A35" t="str">
            <v>A034</v>
          </cell>
          <cell r="B35" t="str">
            <v>P039</v>
          </cell>
          <cell r="C35" t="str">
            <v>D004</v>
          </cell>
          <cell r="D35">
            <v>45090</v>
          </cell>
          <cell r="F35" t="str">
            <v>Consultation</v>
          </cell>
          <cell r="G35" t="str">
            <v>No-show</v>
          </cell>
        </row>
        <row r="36">
          <cell r="A36" t="str">
            <v>A035</v>
          </cell>
          <cell r="B36" t="str">
            <v>P036</v>
          </cell>
          <cell r="C36" t="str">
            <v>D003</v>
          </cell>
          <cell r="D36">
            <v>45034</v>
          </cell>
          <cell r="F36" t="str">
            <v>Follow-up</v>
          </cell>
          <cell r="G36" t="str">
            <v>Scheduled</v>
          </cell>
        </row>
        <row r="37">
          <cell r="A37" t="str">
            <v>A036</v>
          </cell>
          <cell r="B37" t="str">
            <v>P033</v>
          </cell>
          <cell r="C37" t="str">
            <v>D003</v>
          </cell>
          <cell r="D37">
            <v>44934</v>
          </cell>
          <cell r="F37" t="str">
            <v>Checkup</v>
          </cell>
          <cell r="G37" t="str">
            <v>No-show</v>
          </cell>
        </row>
        <row r="38">
          <cell r="A38" t="str">
            <v>A037</v>
          </cell>
          <cell r="B38" t="str">
            <v>P030</v>
          </cell>
          <cell r="C38" t="str">
            <v>D004</v>
          </cell>
          <cell r="D38">
            <v>45013</v>
          </cell>
          <cell r="F38" t="str">
            <v>Consultation</v>
          </cell>
          <cell r="G38" t="str">
            <v>Scheduled</v>
          </cell>
        </row>
        <row r="39">
          <cell r="A39" t="str">
            <v>A038</v>
          </cell>
          <cell r="B39" t="str">
            <v>P037</v>
          </cell>
          <cell r="C39" t="str">
            <v>D009</v>
          </cell>
          <cell r="D39">
            <v>44980</v>
          </cell>
          <cell r="F39" t="str">
            <v>Consultation</v>
          </cell>
          <cell r="G39" t="str">
            <v>Scheduled</v>
          </cell>
        </row>
        <row r="40">
          <cell r="A40" t="str">
            <v>A039</v>
          </cell>
          <cell r="B40" t="str">
            <v>P023</v>
          </cell>
          <cell r="C40" t="str">
            <v>D002</v>
          </cell>
          <cell r="D40">
            <v>45033</v>
          </cell>
          <cell r="F40" t="str">
            <v>Follow-up</v>
          </cell>
          <cell r="G40" t="str">
            <v>Scheduled</v>
          </cell>
        </row>
        <row r="41">
          <cell r="A41" t="str">
            <v>A040</v>
          </cell>
          <cell r="B41" t="str">
            <v>P010</v>
          </cell>
          <cell r="C41" t="str">
            <v>D009</v>
          </cell>
          <cell r="D41">
            <v>45012</v>
          </cell>
          <cell r="F41" t="str">
            <v>Therapy</v>
          </cell>
          <cell r="G41" t="str">
            <v>Completed</v>
          </cell>
        </row>
        <row r="42">
          <cell r="A42" t="str">
            <v>A041</v>
          </cell>
          <cell r="B42" t="str">
            <v>P005</v>
          </cell>
          <cell r="C42" t="str">
            <v>D001</v>
          </cell>
          <cell r="D42">
            <v>44927</v>
          </cell>
          <cell r="F42" t="str">
            <v>Emergency</v>
          </cell>
          <cell r="G42" t="str">
            <v>No-show</v>
          </cell>
        </row>
        <row r="43">
          <cell r="A43" t="str">
            <v>A042</v>
          </cell>
          <cell r="B43" t="str">
            <v>P036</v>
          </cell>
          <cell r="C43" t="str">
            <v>D001</v>
          </cell>
          <cell r="D43">
            <v>45006</v>
          </cell>
          <cell r="F43" t="str">
            <v>Emergency</v>
          </cell>
          <cell r="G43" t="str">
            <v>Scheduled</v>
          </cell>
        </row>
        <row r="44">
          <cell r="A44" t="str">
            <v>A043</v>
          </cell>
          <cell r="B44" t="str">
            <v>P034</v>
          </cell>
          <cell r="C44" t="str">
            <v>D005</v>
          </cell>
          <cell r="D44">
            <v>45014</v>
          </cell>
          <cell r="F44" t="str">
            <v>Consultation</v>
          </cell>
          <cell r="G44" t="str">
            <v>No-show</v>
          </cell>
        </row>
        <row r="45">
          <cell r="A45" t="str">
            <v>A044</v>
          </cell>
          <cell r="B45" t="str">
            <v>P031</v>
          </cell>
          <cell r="C45" t="str">
            <v>D006</v>
          </cell>
          <cell r="D45">
            <v>45189</v>
          </cell>
          <cell r="F45" t="str">
            <v>Follow-up</v>
          </cell>
          <cell r="G45" t="str">
            <v>Completed</v>
          </cell>
        </row>
        <row r="46">
          <cell r="A46" t="str">
            <v>A045</v>
          </cell>
          <cell r="B46" t="str">
            <v>P010</v>
          </cell>
          <cell r="C46" t="str">
            <v>D006</v>
          </cell>
          <cell r="D46">
            <v>45197</v>
          </cell>
          <cell r="F46" t="str">
            <v>Emergency</v>
          </cell>
          <cell r="G46" t="str">
            <v>Scheduled</v>
          </cell>
        </row>
        <row r="47">
          <cell r="A47" t="str">
            <v>A046</v>
          </cell>
          <cell r="B47" t="str">
            <v>P019</v>
          </cell>
          <cell r="C47" t="str">
            <v>D003</v>
          </cell>
          <cell r="D47">
            <v>45280</v>
          </cell>
          <cell r="F47" t="str">
            <v>Consultation</v>
          </cell>
          <cell r="G47" t="str">
            <v>Cancelled</v>
          </cell>
        </row>
        <row r="48">
          <cell r="A48" t="str">
            <v>A047</v>
          </cell>
          <cell r="B48" t="str">
            <v>P032</v>
          </cell>
          <cell r="C48" t="str">
            <v>D007</v>
          </cell>
          <cell r="D48">
            <v>45048</v>
          </cell>
          <cell r="F48" t="str">
            <v>Therapy</v>
          </cell>
          <cell r="G48" t="str">
            <v>Completed</v>
          </cell>
        </row>
        <row r="49">
          <cell r="A49" t="str">
            <v>A048</v>
          </cell>
          <cell r="B49" t="str">
            <v>P001</v>
          </cell>
          <cell r="C49" t="str">
            <v>D009</v>
          </cell>
          <cell r="D49">
            <v>44942</v>
          </cell>
          <cell r="F49" t="str">
            <v>Emergency</v>
          </cell>
          <cell r="G49" t="str">
            <v>Cancelled</v>
          </cell>
        </row>
        <row r="50">
          <cell r="A50" t="str">
            <v>A049</v>
          </cell>
          <cell r="B50" t="str">
            <v>P005</v>
          </cell>
          <cell r="C50" t="str">
            <v>D010</v>
          </cell>
          <cell r="D50">
            <v>45046</v>
          </cell>
          <cell r="F50" t="str">
            <v>Consultation</v>
          </cell>
          <cell r="G50" t="str">
            <v>No-show</v>
          </cell>
        </row>
        <row r="51">
          <cell r="A51" t="str">
            <v>A050</v>
          </cell>
          <cell r="B51" t="str">
            <v>P045</v>
          </cell>
          <cell r="C51" t="str">
            <v>D008</v>
          </cell>
          <cell r="D51">
            <v>45154</v>
          </cell>
          <cell r="F51" t="str">
            <v>Consultation</v>
          </cell>
          <cell r="G51" t="str">
            <v>No-show</v>
          </cell>
        </row>
        <row r="52">
          <cell r="A52" t="str">
            <v>A051</v>
          </cell>
          <cell r="B52" t="str">
            <v>P004</v>
          </cell>
          <cell r="C52" t="str">
            <v>D006</v>
          </cell>
          <cell r="D52">
            <v>44961</v>
          </cell>
          <cell r="F52" t="str">
            <v>Checkup</v>
          </cell>
          <cell r="G52" t="str">
            <v>Completed</v>
          </cell>
        </row>
        <row r="53">
          <cell r="A53" t="str">
            <v>A052</v>
          </cell>
          <cell r="B53" t="str">
            <v>P016</v>
          </cell>
          <cell r="C53" t="str">
            <v>D008</v>
          </cell>
          <cell r="D53">
            <v>45119</v>
          </cell>
          <cell r="F53" t="str">
            <v>Therapy</v>
          </cell>
          <cell r="G53" t="str">
            <v>No-show</v>
          </cell>
        </row>
        <row r="54">
          <cell r="A54" t="str">
            <v>A053</v>
          </cell>
          <cell r="B54" t="str">
            <v>P024</v>
          </cell>
          <cell r="C54" t="str">
            <v>D005</v>
          </cell>
          <cell r="D54">
            <v>44969</v>
          </cell>
          <cell r="F54" t="str">
            <v>Checkup</v>
          </cell>
          <cell r="G54" t="str">
            <v>Cancelled</v>
          </cell>
        </row>
        <row r="55">
          <cell r="A55" t="str">
            <v>A054</v>
          </cell>
          <cell r="B55" t="str">
            <v>P016</v>
          </cell>
          <cell r="C55" t="str">
            <v>D008</v>
          </cell>
          <cell r="D55">
            <v>45276</v>
          </cell>
          <cell r="F55" t="str">
            <v>Follow-up</v>
          </cell>
          <cell r="G55" t="str">
            <v>Scheduled</v>
          </cell>
        </row>
        <row r="56">
          <cell r="A56" t="str">
            <v>A055</v>
          </cell>
          <cell r="B56" t="str">
            <v>P002</v>
          </cell>
          <cell r="C56" t="str">
            <v>D010</v>
          </cell>
          <cell r="D56">
            <v>45205</v>
          </cell>
          <cell r="F56" t="str">
            <v>Checkup</v>
          </cell>
          <cell r="G56" t="str">
            <v>Scheduled</v>
          </cell>
        </row>
        <row r="57">
          <cell r="A57" t="str">
            <v>A056</v>
          </cell>
          <cell r="B57" t="str">
            <v>P049</v>
          </cell>
          <cell r="C57" t="str">
            <v>D004</v>
          </cell>
          <cell r="D57">
            <v>44928</v>
          </cell>
          <cell r="F57" t="str">
            <v>Checkup</v>
          </cell>
          <cell r="G57" t="str">
            <v>Scheduled</v>
          </cell>
        </row>
        <row r="58">
          <cell r="A58" t="str">
            <v>A057</v>
          </cell>
          <cell r="B58" t="str">
            <v>P028</v>
          </cell>
          <cell r="C58" t="str">
            <v>D010</v>
          </cell>
          <cell r="D58">
            <v>45031</v>
          </cell>
          <cell r="F58" t="str">
            <v>Emergency</v>
          </cell>
          <cell r="G58" t="str">
            <v>Completed</v>
          </cell>
        </row>
        <row r="59">
          <cell r="A59" t="str">
            <v>A058</v>
          </cell>
          <cell r="B59" t="str">
            <v>P032</v>
          </cell>
          <cell r="C59" t="str">
            <v>D008</v>
          </cell>
          <cell r="D59">
            <v>45055</v>
          </cell>
          <cell r="F59" t="str">
            <v>Consultation</v>
          </cell>
          <cell r="G59" t="str">
            <v>No-show</v>
          </cell>
        </row>
        <row r="60">
          <cell r="A60" t="str">
            <v>A059</v>
          </cell>
          <cell r="B60" t="str">
            <v>P027</v>
          </cell>
          <cell r="C60" t="str">
            <v>D010</v>
          </cell>
          <cell r="D60">
            <v>44994</v>
          </cell>
          <cell r="F60" t="str">
            <v>Therapy</v>
          </cell>
          <cell r="G60" t="str">
            <v>Cancelled</v>
          </cell>
        </row>
        <row r="61">
          <cell r="A61" t="str">
            <v>A060</v>
          </cell>
          <cell r="B61" t="str">
            <v>P020</v>
          </cell>
          <cell r="C61" t="str">
            <v>D002</v>
          </cell>
          <cell r="D61">
            <v>45252</v>
          </cell>
          <cell r="F61" t="str">
            <v>Checkup</v>
          </cell>
          <cell r="G61" t="str">
            <v>No-show</v>
          </cell>
        </row>
        <row r="62">
          <cell r="A62" t="str">
            <v>A061</v>
          </cell>
          <cell r="B62" t="str">
            <v>P024</v>
          </cell>
          <cell r="C62" t="str">
            <v>D005</v>
          </cell>
          <cell r="D62">
            <v>44941</v>
          </cell>
          <cell r="F62" t="str">
            <v>Therapy</v>
          </cell>
          <cell r="G62" t="str">
            <v>No-show</v>
          </cell>
        </row>
        <row r="63">
          <cell r="A63" t="str">
            <v>A062</v>
          </cell>
          <cell r="B63" t="str">
            <v>P012</v>
          </cell>
          <cell r="C63" t="str">
            <v>D009</v>
          </cell>
          <cell r="D63">
            <v>45091</v>
          </cell>
          <cell r="F63" t="str">
            <v>Checkup</v>
          </cell>
          <cell r="G63" t="str">
            <v>No-show</v>
          </cell>
        </row>
        <row r="64">
          <cell r="A64" t="str">
            <v>A063</v>
          </cell>
          <cell r="B64" t="str">
            <v>P050</v>
          </cell>
          <cell r="C64" t="str">
            <v>D004</v>
          </cell>
          <cell r="D64">
            <v>45106</v>
          </cell>
          <cell r="F64" t="str">
            <v>Follow-up</v>
          </cell>
          <cell r="G64" t="str">
            <v>Scheduled</v>
          </cell>
        </row>
        <row r="65">
          <cell r="A65" t="str">
            <v>A064</v>
          </cell>
          <cell r="B65" t="str">
            <v>P035</v>
          </cell>
          <cell r="C65" t="str">
            <v>D006</v>
          </cell>
          <cell r="D65">
            <v>45077</v>
          </cell>
          <cell r="F65" t="str">
            <v>Checkup</v>
          </cell>
          <cell r="G65" t="str">
            <v>Cancelled</v>
          </cell>
        </row>
        <row r="66">
          <cell r="A66" t="str">
            <v>A065</v>
          </cell>
          <cell r="B66" t="str">
            <v>P033</v>
          </cell>
          <cell r="C66" t="str">
            <v>D001</v>
          </cell>
          <cell r="D66">
            <v>45040</v>
          </cell>
          <cell r="F66" t="str">
            <v>Emergency</v>
          </cell>
          <cell r="G66" t="str">
            <v>Cancelled</v>
          </cell>
        </row>
        <row r="67">
          <cell r="A67" t="str">
            <v>A066</v>
          </cell>
          <cell r="B67" t="str">
            <v>P033</v>
          </cell>
          <cell r="C67" t="str">
            <v>D009</v>
          </cell>
          <cell r="D67">
            <v>45056</v>
          </cell>
          <cell r="F67" t="str">
            <v>Consultation</v>
          </cell>
          <cell r="G67" t="str">
            <v>No-show</v>
          </cell>
        </row>
        <row r="68">
          <cell r="A68" t="str">
            <v>A067</v>
          </cell>
          <cell r="B68" t="str">
            <v>P043</v>
          </cell>
          <cell r="C68" t="str">
            <v>D001</v>
          </cell>
          <cell r="D68">
            <v>45148</v>
          </cell>
          <cell r="F68" t="str">
            <v>Follow-up</v>
          </cell>
          <cell r="G68" t="str">
            <v>Scheduled</v>
          </cell>
        </row>
        <row r="69">
          <cell r="A69" t="str">
            <v>A068</v>
          </cell>
          <cell r="B69" t="str">
            <v>P037</v>
          </cell>
          <cell r="C69" t="str">
            <v>D005</v>
          </cell>
          <cell r="D69">
            <v>44999</v>
          </cell>
          <cell r="F69" t="str">
            <v>Checkup</v>
          </cell>
          <cell r="G69" t="str">
            <v>Scheduled</v>
          </cell>
        </row>
        <row r="70">
          <cell r="A70" t="str">
            <v>A069</v>
          </cell>
          <cell r="B70" t="str">
            <v>P012</v>
          </cell>
          <cell r="C70" t="str">
            <v>D004</v>
          </cell>
          <cell r="D70">
            <v>45014</v>
          </cell>
          <cell r="F70" t="str">
            <v>Therapy</v>
          </cell>
          <cell r="G70" t="str">
            <v>Cancelled</v>
          </cell>
        </row>
        <row r="71">
          <cell r="A71" t="str">
            <v>A070</v>
          </cell>
          <cell r="B71" t="str">
            <v>P003</v>
          </cell>
          <cell r="C71" t="str">
            <v>D003</v>
          </cell>
          <cell r="D71">
            <v>45164</v>
          </cell>
          <cell r="F71" t="str">
            <v>Follow-up</v>
          </cell>
          <cell r="G71" t="str">
            <v>Scheduled</v>
          </cell>
        </row>
        <row r="72">
          <cell r="A72" t="str">
            <v>A071</v>
          </cell>
          <cell r="B72" t="str">
            <v>P001</v>
          </cell>
          <cell r="C72" t="str">
            <v>D006</v>
          </cell>
          <cell r="D72">
            <v>44952</v>
          </cell>
          <cell r="F72" t="str">
            <v>Follow-up</v>
          </cell>
          <cell r="G72" t="str">
            <v>Scheduled</v>
          </cell>
        </row>
        <row r="73">
          <cell r="A73" t="str">
            <v>A072</v>
          </cell>
          <cell r="B73" t="str">
            <v>P033</v>
          </cell>
          <cell r="C73" t="str">
            <v>D002</v>
          </cell>
          <cell r="D73">
            <v>45089</v>
          </cell>
          <cell r="F73" t="str">
            <v>Checkup</v>
          </cell>
          <cell r="G73" t="str">
            <v>Scheduled</v>
          </cell>
        </row>
        <row r="74">
          <cell r="A74" t="str">
            <v>A073</v>
          </cell>
          <cell r="B74" t="str">
            <v>P040</v>
          </cell>
          <cell r="C74" t="str">
            <v>D003</v>
          </cell>
          <cell r="D74">
            <v>45284</v>
          </cell>
          <cell r="F74" t="str">
            <v>Follow-up</v>
          </cell>
          <cell r="G74" t="str">
            <v>Completed</v>
          </cell>
        </row>
        <row r="75">
          <cell r="A75" t="str">
            <v>A074</v>
          </cell>
          <cell r="B75" t="str">
            <v>P010</v>
          </cell>
          <cell r="C75" t="str">
            <v>D005</v>
          </cell>
          <cell r="D75">
            <v>45130</v>
          </cell>
          <cell r="F75" t="str">
            <v>Therapy</v>
          </cell>
          <cell r="G75" t="str">
            <v>No-show</v>
          </cell>
        </row>
        <row r="76">
          <cell r="A76" t="str">
            <v>A075</v>
          </cell>
          <cell r="B76" t="str">
            <v>P043</v>
          </cell>
          <cell r="C76" t="str">
            <v>D009</v>
          </cell>
          <cell r="D76">
            <v>45054</v>
          </cell>
          <cell r="F76" t="str">
            <v>Follow-up</v>
          </cell>
          <cell r="G76" t="str">
            <v>Cancelled</v>
          </cell>
        </row>
        <row r="77">
          <cell r="A77" t="str">
            <v>A076</v>
          </cell>
          <cell r="B77" t="str">
            <v>P044</v>
          </cell>
          <cell r="C77" t="str">
            <v>D002</v>
          </cell>
          <cell r="D77">
            <v>45257</v>
          </cell>
          <cell r="F77" t="str">
            <v>Therapy</v>
          </cell>
          <cell r="G77" t="str">
            <v>Cancelled</v>
          </cell>
        </row>
        <row r="78">
          <cell r="A78" t="str">
            <v>A077</v>
          </cell>
          <cell r="B78" t="str">
            <v>P029</v>
          </cell>
          <cell r="C78" t="str">
            <v>D010</v>
          </cell>
          <cell r="D78">
            <v>45274</v>
          </cell>
          <cell r="F78" t="str">
            <v>Checkup</v>
          </cell>
          <cell r="G78" t="str">
            <v>Completed</v>
          </cell>
        </row>
        <row r="79">
          <cell r="A79" t="str">
            <v>A078</v>
          </cell>
          <cell r="B79" t="str">
            <v>P013</v>
          </cell>
          <cell r="C79" t="str">
            <v>D008</v>
          </cell>
          <cell r="D79">
            <v>45186</v>
          </cell>
          <cell r="F79" t="str">
            <v>Consultation</v>
          </cell>
          <cell r="G79" t="str">
            <v>No-show</v>
          </cell>
        </row>
        <row r="80">
          <cell r="A80" t="str">
            <v>A079</v>
          </cell>
          <cell r="B80" t="str">
            <v>P012</v>
          </cell>
          <cell r="C80" t="str">
            <v>D002</v>
          </cell>
          <cell r="D80">
            <v>45286</v>
          </cell>
          <cell r="F80" t="str">
            <v>Follow-up</v>
          </cell>
          <cell r="G80" t="str">
            <v>Cancelled</v>
          </cell>
        </row>
        <row r="81">
          <cell r="A81" t="str">
            <v>A080</v>
          </cell>
          <cell r="B81" t="str">
            <v>P031</v>
          </cell>
          <cell r="C81" t="str">
            <v>D005</v>
          </cell>
          <cell r="D81">
            <v>45103</v>
          </cell>
          <cell r="F81" t="str">
            <v>Consultation</v>
          </cell>
          <cell r="G81" t="str">
            <v>Scheduled</v>
          </cell>
        </row>
        <row r="82">
          <cell r="A82" t="str">
            <v>A081</v>
          </cell>
          <cell r="B82" t="str">
            <v>P046</v>
          </cell>
          <cell r="C82" t="str">
            <v>D007</v>
          </cell>
          <cell r="D82">
            <v>44932</v>
          </cell>
          <cell r="F82" t="str">
            <v>Therapy</v>
          </cell>
          <cell r="G82" t="str">
            <v>Cancelled</v>
          </cell>
        </row>
        <row r="83">
          <cell r="A83" t="str">
            <v>A082</v>
          </cell>
          <cell r="B83" t="str">
            <v>P002</v>
          </cell>
          <cell r="C83" t="str">
            <v>D008</v>
          </cell>
          <cell r="D83">
            <v>44946</v>
          </cell>
          <cell r="F83" t="str">
            <v>Follow-up</v>
          </cell>
          <cell r="G83" t="str">
            <v>Scheduled</v>
          </cell>
        </row>
        <row r="84">
          <cell r="A84" t="str">
            <v>A083</v>
          </cell>
          <cell r="B84" t="str">
            <v>P050</v>
          </cell>
          <cell r="C84" t="str">
            <v>D001</v>
          </cell>
          <cell r="D84">
            <v>45237</v>
          </cell>
          <cell r="F84" t="str">
            <v>Emergency</v>
          </cell>
          <cell r="G84" t="str">
            <v>Completed</v>
          </cell>
        </row>
        <row r="85">
          <cell r="A85" t="str">
            <v>A084</v>
          </cell>
          <cell r="B85" t="str">
            <v>P035</v>
          </cell>
          <cell r="C85" t="str">
            <v>D006</v>
          </cell>
          <cell r="D85">
            <v>45077</v>
          </cell>
          <cell r="F85" t="str">
            <v>Consultation</v>
          </cell>
          <cell r="G85" t="str">
            <v>Scheduled</v>
          </cell>
        </row>
        <row r="86">
          <cell r="A86" t="str">
            <v>A085</v>
          </cell>
          <cell r="B86" t="str">
            <v>P023</v>
          </cell>
          <cell r="C86" t="str">
            <v>D001</v>
          </cell>
          <cell r="D86">
            <v>44975</v>
          </cell>
          <cell r="F86" t="str">
            <v>Follow-up</v>
          </cell>
          <cell r="G86" t="str">
            <v>Cancelled</v>
          </cell>
        </row>
        <row r="87">
          <cell r="A87" t="str">
            <v>A086</v>
          </cell>
          <cell r="B87" t="str">
            <v>P017</v>
          </cell>
          <cell r="C87" t="str">
            <v>D002</v>
          </cell>
          <cell r="D87">
            <v>45228</v>
          </cell>
          <cell r="F87" t="str">
            <v>Consultation</v>
          </cell>
          <cell r="G87" t="str">
            <v>Cancelled</v>
          </cell>
        </row>
        <row r="88">
          <cell r="A88" t="str">
            <v>A087</v>
          </cell>
          <cell r="B88" t="str">
            <v>P026</v>
          </cell>
          <cell r="C88" t="str">
            <v>D001</v>
          </cell>
          <cell r="D88">
            <v>45218</v>
          </cell>
          <cell r="F88" t="str">
            <v>Follow-up</v>
          </cell>
          <cell r="G88" t="str">
            <v>Cancelled</v>
          </cell>
        </row>
        <row r="89">
          <cell r="A89" t="str">
            <v>A088</v>
          </cell>
          <cell r="B89" t="str">
            <v>P008</v>
          </cell>
          <cell r="C89" t="str">
            <v>D005</v>
          </cell>
          <cell r="D89">
            <v>45048</v>
          </cell>
          <cell r="F89" t="str">
            <v>Checkup</v>
          </cell>
          <cell r="G89" t="str">
            <v>Completed</v>
          </cell>
        </row>
        <row r="90">
          <cell r="A90" t="str">
            <v>A089</v>
          </cell>
          <cell r="B90" t="str">
            <v>P029</v>
          </cell>
          <cell r="C90" t="str">
            <v>D010</v>
          </cell>
          <cell r="D90">
            <v>44971</v>
          </cell>
          <cell r="F90" t="str">
            <v>Consultation</v>
          </cell>
          <cell r="G90" t="str">
            <v>Completed</v>
          </cell>
        </row>
        <row r="91">
          <cell r="A91" t="str">
            <v>A090</v>
          </cell>
          <cell r="B91" t="str">
            <v>P026</v>
          </cell>
          <cell r="C91" t="str">
            <v>D009</v>
          </cell>
          <cell r="D91">
            <v>45078</v>
          </cell>
          <cell r="F91" t="str">
            <v>Emergency</v>
          </cell>
          <cell r="G91" t="str">
            <v>No-show</v>
          </cell>
        </row>
        <row r="92">
          <cell r="A92" t="str">
            <v>A091</v>
          </cell>
          <cell r="B92" t="str">
            <v>P010</v>
          </cell>
          <cell r="C92" t="str">
            <v>D006</v>
          </cell>
          <cell r="D92">
            <v>45088</v>
          </cell>
          <cell r="F92" t="str">
            <v>Emergency</v>
          </cell>
          <cell r="G92" t="str">
            <v>Cancelled</v>
          </cell>
        </row>
        <row r="93">
          <cell r="A93" t="str">
            <v>A092</v>
          </cell>
          <cell r="B93" t="str">
            <v>P026</v>
          </cell>
          <cell r="C93" t="str">
            <v>D001</v>
          </cell>
          <cell r="D93">
            <v>44956</v>
          </cell>
          <cell r="F93" t="str">
            <v>Therapy</v>
          </cell>
          <cell r="G93" t="str">
            <v>Scheduled</v>
          </cell>
        </row>
        <row r="94">
          <cell r="A94" t="str">
            <v>A093</v>
          </cell>
          <cell r="B94" t="str">
            <v>P034</v>
          </cell>
          <cell r="C94" t="str">
            <v>D001</v>
          </cell>
          <cell r="D94">
            <v>45025</v>
          </cell>
          <cell r="F94" t="str">
            <v>Follow-up</v>
          </cell>
          <cell r="G94" t="str">
            <v>Completed</v>
          </cell>
        </row>
        <row r="95">
          <cell r="A95" t="str">
            <v>A094</v>
          </cell>
          <cell r="B95" t="str">
            <v>P041</v>
          </cell>
          <cell r="C95" t="str">
            <v>D002</v>
          </cell>
          <cell r="D95">
            <v>45024</v>
          </cell>
          <cell r="F95" t="str">
            <v>Consultation</v>
          </cell>
          <cell r="G95" t="str">
            <v>Cancelled</v>
          </cell>
        </row>
        <row r="96">
          <cell r="A96" t="str">
            <v>A095</v>
          </cell>
          <cell r="B96" t="str">
            <v>P007</v>
          </cell>
          <cell r="C96" t="str">
            <v>D009</v>
          </cell>
          <cell r="D96">
            <v>45055</v>
          </cell>
          <cell r="F96" t="str">
            <v>Therapy</v>
          </cell>
          <cell r="G96" t="str">
            <v>Cancelled</v>
          </cell>
        </row>
        <row r="97">
          <cell r="A97" t="str">
            <v>A096</v>
          </cell>
          <cell r="B97" t="str">
            <v>P004</v>
          </cell>
          <cell r="C97" t="str">
            <v>D003</v>
          </cell>
          <cell r="D97">
            <v>45114</v>
          </cell>
          <cell r="F97" t="str">
            <v>Consultation</v>
          </cell>
          <cell r="G97" t="str">
            <v>Completed</v>
          </cell>
        </row>
        <row r="98">
          <cell r="A98" t="str">
            <v>A097</v>
          </cell>
          <cell r="B98" t="str">
            <v>P050</v>
          </cell>
          <cell r="C98" t="str">
            <v>D001</v>
          </cell>
          <cell r="D98">
            <v>45052</v>
          </cell>
          <cell r="F98" t="str">
            <v>Follow-up</v>
          </cell>
          <cell r="G98" t="str">
            <v>No-show</v>
          </cell>
        </row>
        <row r="99">
          <cell r="A99" t="str">
            <v>A098</v>
          </cell>
          <cell r="B99" t="str">
            <v>P045</v>
          </cell>
          <cell r="C99" t="str">
            <v>D005</v>
          </cell>
          <cell r="D99">
            <v>45002</v>
          </cell>
          <cell r="F99" t="str">
            <v>Emergency</v>
          </cell>
          <cell r="G99" t="str">
            <v>Completed</v>
          </cell>
        </row>
        <row r="100">
          <cell r="A100" t="str">
            <v>A099</v>
          </cell>
          <cell r="B100" t="str">
            <v>P011</v>
          </cell>
          <cell r="C100" t="str">
            <v>D007</v>
          </cell>
          <cell r="D100">
            <v>45111</v>
          </cell>
          <cell r="F100" t="str">
            <v>Checkup</v>
          </cell>
          <cell r="G100" t="str">
            <v>Completed</v>
          </cell>
        </row>
        <row r="101">
          <cell r="A101" t="str">
            <v>A100</v>
          </cell>
          <cell r="B101" t="str">
            <v>P029</v>
          </cell>
          <cell r="C101" t="str">
            <v>D006</v>
          </cell>
          <cell r="D101">
            <v>44987</v>
          </cell>
          <cell r="F101" t="str">
            <v>Emergency</v>
          </cell>
          <cell r="G101" t="str">
            <v>Scheduled</v>
          </cell>
        </row>
        <row r="102">
          <cell r="A102" t="str">
            <v>A101</v>
          </cell>
          <cell r="B102" t="str">
            <v>P036</v>
          </cell>
          <cell r="C102" t="str">
            <v>D001</v>
          </cell>
          <cell r="D102">
            <v>45190</v>
          </cell>
          <cell r="F102" t="str">
            <v>Therapy</v>
          </cell>
          <cell r="G102" t="str">
            <v>Scheduled</v>
          </cell>
        </row>
        <row r="103">
          <cell r="A103" t="str">
            <v>A102</v>
          </cell>
          <cell r="B103" t="str">
            <v>P025</v>
          </cell>
          <cell r="C103" t="str">
            <v>D005</v>
          </cell>
          <cell r="D103">
            <v>45224</v>
          </cell>
          <cell r="F103" t="str">
            <v>Checkup</v>
          </cell>
          <cell r="G103" t="str">
            <v>No-show</v>
          </cell>
        </row>
        <row r="104">
          <cell r="A104" t="str">
            <v>A103</v>
          </cell>
          <cell r="B104" t="str">
            <v>P021</v>
          </cell>
          <cell r="C104" t="str">
            <v>D005</v>
          </cell>
          <cell r="D104">
            <v>44950</v>
          </cell>
          <cell r="F104" t="str">
            <v>Therapy</v>
          </cell>
          <cell r="G104" t="str">
            <v>Cancelled</v>
          </cell>
        </row>
        <row r="105">
          <cell r="A105" t="str">
            <v>A104</v>
          </cell>
          <cell r="B105" t="str">
            <v>P036</v>
          </cell>
          <cell r="C105" t="str">
            <v>D006</v>
          </cell>
          <cell r="D105">
            <v>45034</v>
          </cell>
          <cell r="F105" t="str">
            <v>Follow-up</v>
          </cell>
          <cell r="G105" t="str">
            <v>Completed</v>
          </cell>
        </row>
        <row r="106">
          <cell r="A106" t="str">
            <v>A105</v>
          </cell>
          <cell r="B106" t="str">
            <v>P010</v>
          </cell>
          <cell r="C106" t="str">
            <v>D003</v>
          </cell>
          <cell r="D106">
            <v>45152</v>
          </cell>
          <cell r="F106" t="str">
            <v>Checkup</v>
          </cell>
          <cell r="G106" t="str">
            <v>No-show</v>
          </cell>
        </row>
        <row r="107">
          <cell r="A107" t="str">
            <v>A106</v>
          </cell>
          <cell r="B107" t="str">
            <v>P037</v>
          </cell>
          <cell r="C107" t="str">
            <v>D005</v>
          </cell>
          <cell r="D107">
            <v>45228</v>
          </cell>
          <cell r="F107" t="str">
            <v>Therapy</v>
          </cell>
          <cell r="G107" t="str">
            <v>Scheduled</v>
          </cell>
        </row>
        <row r="108">
          <cell r="A108" t="str">
            <v>A107</v>
          </cell>
          <cell r="B108" t="str">
            <v>P009</v>
          </cell>
          <cell r="C108" t="str">
            <v>D007</v>
          </cell>
          <cell r="D108">
            <v>45033</v>
          </cell>
          <cell r="F108" t="str">
            <v>Follow-up</v>
          </cell>
          <cell r="G108" t="str">
            <v>Completed</v>
          </cell>
        </row>
        <row r="109">
          <cell r="A109" t="str">
            <v>A108</v>
          </cell>
          <cell r="B109" t="str">
            <v>P024</v>
          </cell>
          <cell r="C109" t="str">
            <v>D005</v>
          </cell>
          <cell r="D109">
            <v>45037</v>
          </cell>
          <cell r="F109" t="str">
            <v>Emergency</v>
          </cell>
          <cell r="G109" t="str">
            <v>Cancelled</v>
          </cell>
        </row>
        <row r="110">
          <cell r="A110" t="str">
            <v>A109</v>
          </cell>
          <cell r="B110" t="str">
            <v>P035</v>
          </cell>
          <cell r="C110" t="str">
            <v>D005</v>
          </cell>
          <cell r="D110">
            <v>45136</v>
          </cell>
          <cell r="F110" t="str">
            <v>Follow-up</v>
          </cell>
          <cell r="G110" t="str">
            <v>Scheduled</v>
          </cell>
        </row>
        <row r="111">
          <cell r="A111" t="str">
            <v>A110</v>
          </cell>
          <cell r="B111" t="str">
            <v>P049</v>
          </cell>
          <cell r="C111" t="str">
            <v>D005</v>
          </cell>
          <cell r="D111">
            <v>45126</v>
          </cell>
          <cell r="F111" t="str">
            <v>Consultation</v>
          </cell>
          <cell r="G111" t="str">
            <v>Scheduled</v>
          </cell>
        </row>
        <row r="112">
          <cell r="A112" t="str">
            <v>A111</v>
          </cell>
          <cell r="B112" t="str">
            <v>P035</v>
          </cell>
          <cell r="C112" t="str">
            <v>D010</v>
          </cell>
          <cell r="D112">
            <v>45068</v>
          </cell>
          <cell r="F112" t="str">
            <v>Follow-up</v>
          </cell>
          <cell r="G112" t="str">
            <v>Scheduled</v>
          </cell>
        </row>
        <row r="113">
          <cell r="A113" t="str">
            <v>A112</v>
          </cell>
          <cell r="B113" t="str">
            <v>P048</v>
          </cell>
          <cell r="C113" t="str">
            <v>D010</v>
          </cell>
          <cell r="D113">
            <v>44937</v>
          </cell>
          <cell r="F113" t="str">
            <v>Follow-up</v>
          </cell>
          <cell r="G113" t="str">
            <v>No-show</v>
          </cell>
        </row>
        <row r="114">
          <cell r="A114" t="str">
            <v>A113</v>
          </cell>
          <cell r="B114" t="str">
            <v>P036</v>
          </cell>
          <cell r="C114" t="str">
            <v>D003</v>
          </cell>
          <cell r="D114">
            <v>45254</v>
          </cell>
          <cell r="F114" t="str">
            <v>Consultation</v>
          </cell>
          <cell r="G114" t="str">
            <v>Cancelled</v>
          </cell>
        </row>
        <row r="115">
          <cell r="A115" t="str">
            <v>A114</v>
          </cell>
          <cell r="B115" t="str">
            <v>P018</v>
          </cell>
          <cell r="C115" t="str">
            <v>D001</v>
          </cell>
          <cell r="D115">
            <v>45146</v>
          </cell>
          <cell r="F115" t="str">
            <v>Therapy</v>
          </cell>
          <cell r="G115" t="str">
            <v>Completed</v>
          </cell>
        </row>
        <row r="116">
          <cell r="A116" t="str">
            <v>A115</v>
          </cell>
          <cell r="B116" t="str">
            <v>P049</v>
          </cell>
          <cell r="C116" t="str">
            <v>D005</v>
          </cell>
          <cell r="D116">
            <v>45224</v>
          </cell>
          <cell r="F116" t="str">
            <v>Therapy</v>
          </cell>
          <cell r="G116" t="str">
            <v>No-show</v>
          </cell>
        </row>
        <row r="117">
          <cell r="A117" t="str">
            <v>A116</v>
          </cell>
          <cell r="B117" t="str">
            <v>P039</v>
          </cell>
          <cell r="C117" t="str">
            <v>D009</v>
          </cell>
          <cell r="D117">
            <v>45114</v>
          </cell>
          <cell r="F117" t="str">
            <v>Follow-up</v>
          </cell>
          <cell r="G117" t="str">
            <v>No-show</v>
          </cell>
        </row>
        <row r="118">
          <cell r="A118" t="str">
            <v>A117</v>
          </cell>
          <cell r="B118" t="str">
            <v>P032</v>
          </cell>
          <cell r="C118" t="str">
            <v>D001</v>
          </cell>
          <cell r="D118">
            <v>45097</v>
          </cell>
          <cell r="F118" t="str">
            <v>Consultation</v>
          </cell>
          <cell r="G118" t="str">
            <v>No-show</v>
          </cell>
        </row>
        <row r="119">
          <cell r="A119" t="str">
            <v>A118</v>
          </cell>
          <cell r="B119" t="str">
            <v>P024</v>
          </cell>
          <cell r="C119" t="str">
            <v>D003</v>
          </cell>
          <cell r="D119">
            <v>45147</v>
          </cell>
          <cell r="F119" t="str">
            <v>Consultation</v>
          </cell>
          <cell r="G119" t="str">
            <v>Scheduled</v>
          </cell>
        </row>
        <row r="120">
          <cell r="A120" t="str">
            <v>A119</v>
          </cell>
          <cell r="B120" t="str">
            <v>P023</v>
          </cell>
          <cell r="C120" t="str">
            <v>D004</v>
          </cell>
          <cell r="D120">
            <v>45278</v>
          </cell>
          <cell r="F120" t="str">
            <v>Emergency</v>
          </cell>
          <cell r="G120" t="str">
            <v>Cancelled</v>
          </cell>
        </row>
        <row r="121">
          <cell r="A121" t="str">
            <v>A120</v>
          </cell>
          <cell r="B121" t="str">
            <v>P032</v>
          </cell>
          <cell r="C121" t="str">
            <v>D001</v>
          </cell>
          <cell r="D121">
            <v>45268</v>
          </cell>
          <cell r="F121" t="str">
            <v>Therapy</v>
          </cell>
          <cell r="G121" t="str">
            <v>No-show</v>
          </cell>
        </row>
        <row r="122">
          <cell r="A122" t="str">
            <v>A121</v>
          </cell>
          <cell r="B122" t="str">
            <v>P037</v>
          </cell>
          <cell r="C122" t="str">
            <v>D001</v>
          </cell>
          <cell r="D122">
            <v>45023</v>
          </cell>
          <cell r="F122" t="str">
            <v>Checkup</v>
          </cell>
          <cell r="G122" t="str">
            <v>Completed</v>
          </cell>
        </row>
        <row r="123">
          <cell r="A123" t="str">
            <v>A122</v>
          </cell>
          <cell r="B123" t="str">
            <v>P012</v>
          </cell>
          <cell r="C123" t="str">
            <v>D008</v>
          </cell>
          <cell r="D123">
            <v>45118</v>
          </cell>
          <cell r="F123" t="str">
            <v>Therapy</v>
          </cell>
          <cell r="G123" t="str">
            <v>Cancelled</v>
          </cell>
        </row>
        <row r="124">
          <cell r="A124" t="str">
            <v>A123</v>
          </cell>
          <cell r="B124" t="str">
            <v>P049</v>
          </cell>
          <cell r="C124" t="str">
            <v>D002</v>
          </cell>
          <cell r="D124">
            <v>44985</v>
          </cell>
          <cell r="F124" t="str">
            <v>Therapy</v>
          </cell>
          <cell r="G124" t="str">
            <v>Completed</v>
          </cell>
        </row>
        <row r="125">
          <cell r="A125" t="str">
            <v>A124</v>
          </cell>
          <cell r="B125" t="str">
            <v>P013</v>
          </cell>
          <cell r="C125" t="str">
            <v>D008</v>
          </cell>
          <cell r="D125">
            <v>45001</v>
          </cell>
          <cell r="F125" t="str">
            <v>Emergency</v>
          </cell>
          <cell r="G125" t="str">
            <v>Cancelled</v>
          </cell>
        </row>
        <row r="126">
          <cell r="A126" t="str">
            <v>A125</v>
          </cell>
          <cell r="B126" t="str">
            <v>P023</v>
          </cell>
          <cell r="C126" t="str">
            <v>D007</v>
          </cell>
          <cell r="D126">
            <v>44975</v>
          </cell>
          <cell r="F126" t="str">
            <v>Checkup</v>
          </cell>
          <cell r="G126" t="str">
            <v>Completed</v>
          </cell>
        </row>
        <row r="127">
          <cell r="A127" t="str">
            <v>A126</v>
          </cell>
          <cell r="B127" t="str">
            <v>P025</v>
          </cell>
          <cell r="C127" t="str">
            <v>D010</v>
          </cell>
          <cell r="D127">
            <v>45232</v>
          </cell>
          <cell r="F127" t="str">
            <v>Emergency</v>
          </cell>
          <cell r="G127" t="str">
            <v>Scheduled</v>
          </cell>
        </row>
        <row r="128">
          <cell r="A128" t="str">
            <v>A127</v>
          </cell>
          <cell r="B128" t="str">
            <v>P035</v>
          </cell>
          <cell r="C128" t="str">
            <v>D010</v>
          </cell>
          <cell r="D128">
            <v>45243</v>
          </cell>
          <cell r="F128" t="str">
            <v>Checkup</v>
          </cell>
          <cell r="G128" t="str">
            <v>No-show</v>
          </cell>
        </row>
        <row r="129">
          <cell r="A129" t="str">
            <v>A128</v>
          </cell>
          <cell r="B129" t="str">
            <v>P041</v>
          </cell>
          <cell r="C129" t="str">
            <v>D002</v>
          </cell>
          <cell r="D129">
            <v>45031</v>
          </cell>
          <cell r="F129" t="str">
            <v>Follow-up</v>
          </cell>
          <cell r="G129" t="str">
            <v>Completed</v>
          </cell>
        </row>
        <row r="130">
          <cell r="A130" t="str">
            <v>A129</v>
          </cell>
          <cell r="B130" t="str">
            <v>P030</v>
          </cell>
          <cell r="C130" t="str">
            <v>D006</v>
          </cell>
          <cell r="D130">
            <v>45163</v>
          </cell>
          <cell r="F130" t="str">
            <v>Checkup</v>
          </cell>
          <cell r="G130" t="str">
            <v>Cancelled</v>
          </cell>
        </row>
        <row r="131">
          <cell r="A131" t="str">
            <v>A130</v>
          </cell>
          <cell r="B131" t="str">
            <v>P017</v>
          </cell>
          <cell r="C131" t="str">
            <v>D006</v>
          </cell>
          <cell r="D131">
            <v>44980</v>
          </cell>
          <cell r="F131" t="str">
            <v>Emergency</v>
          </cell>
          <cell r="G131" t="str">
            <v>No-show</v>
          </cell>
        </row>
        <row r="132">
          <cell r="A132" t="str">
            <v>A131</v>
          </cell>
          <cell r="B132" t="str">
            <v>P049</v>
          </cell>
          <cell r="C132" t="str">
            <v>D003</v>
          </cell>
          <cell r="D132">
            <v>45057</v>
          </cell>
          <cell r="F132" t="str">
            <v>Therapy</v>
          </cell>
          <cell r="G132" t="str">
            <v>No-show</v>
          </cell>
        </row>
        <row r="133">
          <cell r="A133" t="str">
            <v>A132</v>
          </cell>
          <cell r="B133" t="str">
            <v>P020</v>
          </cell>
          <cell r="C133" t="str">
            <v>D002</v>
          </cell>
          <cell r="D133">
            <v>45133</v>
          </cell>
          <cell r="F133" t="str">
            <v>Checkup</v>
          </cell>
          <cell r="G133" t="str">
            <v>Cancelled</v>
          </cell>
        </row>
        <row r="134">
          <cell r="A134" t="str">
            <v>A133</v>
          </cell>
          <cell r="B134" t="str">
            <v>P048</v>
          </cell>
          <cell r="C134" t="str">
            <v>D001</v>
          </cell>
          <cell r="D134">
            <v>45008</v>
          </cell>
          <cell r="F134" t="str">
            <v>Checkup</v>
          </cell>
          <cell r="G134" t="str">
            <v>Completed</v>
          </cell>
        </row>
        <row r="135">
          <cell r="A135" t="str">
            <v>A134</v>
          </cell>
          <cell r="B135" t="str">
            <v>P025</v>
          </cell>
          <cell r="C135" t="str">
            <v>D006</v>
          </cell>
          <cell r="D135">
            <v>45216</v>
          </cell>
          <cell r="F135" t="str">
            <v>Consultation</v>
          </cell>
          <cell r="G135" t="str">
            <v>Scheduled</v>
          </cell>
        </row>
        <row r="136">
          <cell r="A136" t="str">
            <v>A135</v>
          </cell>
          <cell r="B136" t="str">
            <v>P022</v>
          </cell>
          <cell r="C136" t="str">
            <v>D005</v>
          </cell>
          <cell r="D136">
            <v>45178</v>
          </cell>
          <cell r="F136" t="str">
            <v>Therapy</v>
          </cell>
          <cell r="G136" t="str">
            <v>Scheduled</v>
          </cell>
        </row>
        <row r="137">
          <cell r="A137" t="str">
            <v>A136</v>
          </cell>
          <cell r="B137" t="str">
            <v>P013</v>
          </cell>
          <cell r="C137" t="str">
            <v>D009</v>
          </cell>
          <cell r="D137">
            <v>45059</v>
          </cell>
          <cell r="F137" t="str">
            <v>Follow-up</v>
          </cell>
          <cell r="G137" t="str">
            <v>Completed</v>
          </cell>
        </row>
        <row r="138">
          <cell r="A138" t="str">
            <v>A137</v>
          </cell>
          <cell r="B138" t="str">
            <v>P019</v>
          </cell>
          <cell r="C138" t="str">
            <v>D001</v>
          </cell>
          <cell r="D138">
            <v>45224</v>
          </cell>
          <cell r="F138" t="str">
            <v>Emergency</v>
          </cell>
          <cell r="G138" t="str">
            <v>No-show</v>
          </cell>
        </row>
        <row r="139">
          <cell r="A139" t="str">
            <v>A138</v>
          </cell>
          <cell r="B139" t="str">
            <v>P049</v>
          </cell>
          <cell r="C139" t="str">
            <v>D007</v>
          </cell>
          <cell r="D139">
            <v>45286</v>
          </cell>
          <cell r="F139" t="str">
            <v>Follow-up</v>
          </cell>
          <cell r="G139" t="str">
            <v>No-show</v>
          </cell>
        </row>
        <row r="140">
          <cell r="A140" t="str">
            <v>A139</v>
          </cell>
          <cell r="B140" t="str">
            <v>P036</v>
          </cell>
          <cell r="C140" t="str">
            <v>D005</v>
          </cell>
          <cell r="D140">
            <v>45209</v>
          </cell>
          <cell r="F140" t="str">
            <v>Therapy</v>
          </cell>
          <cell r="G140" t="str">
            <v>No-show</v>
          </cell>
        </row>
        <row r="141">
          <cell r="A141" t="str">
            <v>A140</v>
          </cell>
          <cell r="B141" t="str">
            <v>P012</v>
          </cell>
          <cell r="C141" t="str">
            <v>D005</v>
          </cell>
          <cell r="D141">
            <v>44962</v>
          </cell>
          <cell r="F141" t="str">
            <v>Checkup</v>
          </cell>
          <cell r="G141" t="str">
            <v>No-show</v>
          </cell>
        </row>
        <row r="142">
          <cell r="A142" t="str">
            <v>A141</v>
          </cell>
          <cell r="B142" t="str">
            <v>P041</v>
          </cell>
          <cell r="C142" t="str">
            <v>D002</v>
          </cell>
          <cell r="D142">
            <v>45092</v>
          </cell>
          <cell r="F142" t="str">
            <v>Checkup</v>
          </cell>
          <cell r="G142" t="str">
            <v>Completed</v>
          </cell>
        </row>
        <row r="143">
          <cell r="A143" t="str">
            <v>A142</v>
          </cell>
          <cell r="B143" t="str">
            <v>P019</v>
          </cell>
          <cell r="C143" t="str">
            <v>D003</v>
          </cell>
          <cell r="D143">
            <v>45231</v>
          </cell>
          <cell r="F143" t="str">
            <v>Therapy</v>
          </cell>
          <cell r="G143" t="str">
            <v>No-show</v>
          </cell>
        </row>
        <row r="144">
          <cell r="A144" t="str">
            <v>A143</v>
          </cell>
          <cell r="B144" t="str">
            <v>P012</v>
          </cell>
          <cell r="C144" t="str">
            <v>D007</v>
          </cell>
          <cell r="D144">
            <v>45190</v>
          </cell>
          <cell r="F144" t="str">
            <v>Checkup</v>
          </cell>
          <cell r="G144" t="str">
            <v>Cancelled</v>
          </cell>
        </row>
        <row r="145">
          <cell r="A145" t="str">
            <v>A144</v>
          </cell>
          <cell r="B145" t="str">
            <v>P009</v>
          </cell>
          <cell r="C145" t="str">
            <v>D006</v>
          </cell>
          <cell r="D145">
            <v>45154</v>
          </cell>
          <cell r="F145" t="str">
            <v>Checkup</v>
          </cell>
          <cell r="G145" t="str">
            <v>No-show</v>
          </cell>
        </row>
        <row r="146">
          <cell r="A146" t="str">
            <v>A145</v>
          </cell>
          <cell r="B146" t="str">
            <v>P007</v>
          </cell>
          <cell r="C146" t="str">
            <v>D002</v>
          </cell>
          <cell r="D146">
            <v>45241</v>
          </cell>
          <cell r="F146" t="str">
            <v>Checkup</v>
          </cell>
          <cell r="G146" t="str">
            <v>Scheduled</v>
          </cell>
        </row>
        <row r="147">
          <cell r="A147" t="str">
            <v>A146</v>
          </cell>
          <cell r="B147" t="str">
            <v>P028</v>
          </cell>
          <cell r="C147" t="str">
            <v>D006</v>
          </cell>
          <cell r="D147">
            <v>44931</v>
          </cell>
          <cell r="F147" t="str">
            <v>Emergency</v>
          </cell>
          <cell r="G147" t="str">
            <v>No-show</v>
          </cell>
        </row>
        <row r="148">
          <cell r="A148" t="str">
            <v>A147</v>
          </cell>
          <cell r="B148" t="str">
            <v>P014</v>
          </cell>
          <cell r="C148" t="str">
            <v>D002</v>
          </cell>
          <cell r="D148">
            <v>45243</v>
          </cell>
          <cell r="F148" t="str">
            <v>Emergency</v>
          </cell>
          <cell r="G148" t="str">
            <v>Completed</v>
          </cell>
        </row>
        <row r="149">
          <cell r="A149" t="str">
            <v>A148</v>
          </cell>
          <cell r="B149" t="str">
            <v>P031</v>
          </cell>
          <cell r="C149" t="str">
            <v>D002</v>
          </cell>
          <cell r="D149">
            <v>45266</v>
          </cell>
          <cell r="F149" t="str">
            <v>Consultation</v>
          </cell>
          <cell r="G149" t="str">
            <v>Scheduled</v>
          </cell>
        </row>
        <row r="150">
          <cell r="A150" t="str">
            <v>A149</v>
          </cell>
          <cell r="B150" t="str">
            <v>P019</v>
          </cell>
          <cell r="C150" t="str">
            <v>D002</v>
          </cell>
          <cell r="D150">
            <v>45133</v>
          </cell>
          <cell r="F150" t="str">
            <v>Follow-up</v>
          </cell>
          <cell r="G150" t="str">
            <v>Completed</v>
          </cell>
        </row>
        <row r="151">
          <cell r="A151" t="str">
            <v>A150</v>
          </cell>
          <cell r="B151" t="str">
            <v>P047</v>
          </cell>
          <cell r="C151" t="str">
            <v>D003</v>
          </cell>
          <cell r="D151">
            <v>45154</v>
          </cell>
          <cell r="F151" t="str">
            <v>Therapy</v>
          </cell>
          <cell r="G151" t="str">
            <v>Completed</v>
          </cell>
        </row>
        <row r="152">
          <cell r="A152" t="str">
            <v>A151</v>
          </cell>
          <cell r="B152" t="str">
            <v>P016</v>
          </cell>
          <cell r="C152" t="str">
            <v>D002</v>
          </cell>
          <cell r="D152">
            <v>44954</v>
          </cell>
          <cell r="F152" t="str">
            <v>Therapy</v>
          </cell>
          <cell r="G152" t="str">
            <v>Scheduled</v>
          </cell>
        </row>
        <row r="153">
          <cell r="A153" t="str">
            <v>A152</v>
          </cell>
          <cell r="B153" t="str">
            <v>P005</v>
          </cell>
          <cell r="C153" t="str">
            <v>D004</v>
          </cell>
          <cell r="D153">
            <v>45030</v>
          </cell>
          <cell r="F153" t="str">
            <v>Therapy</v>
          </cell>
          <cell r="G153" t="str">
            <v>Completed</v>
          </cell>
        </row>
        <row r="154">
          <cell r="A154" t="str">
            <v>A153</v>
          </cell>
          <cell r="B154" t="str">
            <v>P035</v>
          </cell>
          <cell r="C154" t="str">
            <v>D009</v>
          </cell>
          <cell r="D154">
            <v>45115</v>
          </cell>
          <cell r="F154" t="str">
            <v>Consultation</v>
          </cell>
          <cell r="G154" t="str">
            <v>Completed</v>
          </cell>
        </row>
        <row r="155">
          <cell r="A155" t="str">
            <v>A154</v>
          </cell>
          <cell r="B155" t="str">
            <v>P012</v>
          </cell>
          <cell r="C155" t="str">
            <v>D006</v>
          </cell>
          <cell r="D155">
            <v>44991</v>
          </cell>
          <cell r="F155" t="str">
            <v>Emergency</v>
          </cell>
          <cell r="G155" t="str">
            <v>No-show</v>
          </cell>
        </row>
        <row r="156">
          <cell r="A156" t="str">
            <v>A155</v>
          </cell>
          <cell r="B156" t="str">
            <v>P025</v>
          </cell>
          <cell r="C156" t="str">
            <v>D001</v>
          </cell>
          <cell r="D156">
            <v>44929</v>
          </cell>
          <cell r="F156" t="str">
            <v>Consultation</v>
          </cell>
          <cell r="G156" t="str">
            <v>Cancelled</v>
          </cell>
        </row>
        <row r="157">
          <cell r="A157" t="str">
            <v>A156</v>
          </cell>
          <cell r="B157" t="str">
            <v>P021</v>
          </cell>
          <cell r="C157" t="str">
            <v>D008</v>
          </cell>
          <cell r="D157">
            <v>45252</v>
          </cell>
          <cell r="F157" t="str">
            <v>Therapy</v>
          </cell>
          <cell r="G157" t="str">
            <v>Completed</v>
          </cell>
        </row>
        <row r="158">
          <cell r="A158" t="str">
            <v>A157</v>
          </cell>
          <cell r="B158" t="str">
            <v>P036</v>
          </cell>
          <cell r="C158" t="str">
            <v>D007</v>
          </cell>
          <cell r="D158">
            <v>45058</v>
          </cell>
          <cell r="F158" t="str">
            <v>Follow-up</v>
          </cell>
          <cell r="G158" t="str">
            <v>Completed</v>
          </cell>
        </row>
        <row r="159">
          <cell r="A159" t="str">
            <v>A158</v>
          </cell>
          <cell r="B159" t="str">
            <v>P023</v>
          </cell>
          <cell r="C159" t="str">
            <v>D010</v>
          </cell>
          <cell r="D159">
            <v>45119</v>
          </cell>
          <cell r="F159" t="str">
            <v>Checkup</v>
          </cell>
          <cell r="G159" t="str">
            <v>Completed</v>
          </cell>
        </row>
        <row r="160">
          <cell r="A160" t="str">
            <v>A159</v>
          </cell>
          <cell r="B160" t="str">
            <v>P016</v>
          </cell>
          <cell r="C160" t="str">
            <v>D003</v>
          </cell>
          <cell r="D160">
            <v>45024</v>
          </cell>
          <cell r="F160" t="str">
            <v>Emergency</v>
          </cell>
          <cell r="G160" t="str">
            <v>No-show</v>
          </cell>
        </row>
        <row r="161">
          <cell r="A161" t="str">
            <v>A160</v>
          </cell>
          <cell r="B161" t="str">
            <v>P039</v>
          </cell>
          <cell r="C161" t="str">
            <v>D001</v>
          </cell>
          <cell r="D161">
            <v>45277</v>
          </cell>
          <cell r="F161" t="str">
            <v>Emergency</v>
          </cell>
          <cell r="G161" t="str">
            <v>Cancelled</v>
          </cell>
        </row>
        <row r="162">
          <cell r="A162" t="str">
            <v>A161</v>
          </cell>
          <cell r="B162" t="str">
            <v>P045</v>
          </cell>
          <cell r="C162" t="str">
            <v>D005</v>
          </cell>
          <cell r="D162">
            <v>45094</v>
          </cell>
          <cell r="F162" t="str">
            <v>Consultation</v>
          </cell>
          <cell r="G162" t="str">
            <v>Scheduled</v>
          </cell>
        </row>
        <row r="163">
          <cell r="A163" t="str">
            <v>A162</v>
          </cell>
          <cell r="B163" t="str">
            <v>P042</v>
          </cell>
          <cell r="C163" t="str">
            <v>D004</v>
          </cell>
          <cell r="D163">
            <v>44927</v>
          </cell>
          <cell r="F163" t="str">
            <v>Emergency</v>
          </cell>
          <cell r="G163" t="str">
            <v>No-show</v>
          </cell>
        </row>
        <row r="164">
          <cell r="A164" t="str">
            <v>A163</v>
          </cell>
          <cell r="B164" t="str">
            <v>P039</v>
          </cell>
          <cell r="C164" t="str">
            <v>D010</v>
          </cell>
          <cell r="D164">
            <v>45104</v>
          </cell>
          <cell r="F164" t="str">
            <v>Therapy</v>
          </cell>
          <cell r="G164" t="str">
            <v>No-show</v>
          </cell>
        </row>
        <row r="165">
          <cell r="A165" t="str">
            <v>A164</v>
          </cell>
          <cell r="B165" t="str">
            <v>P014</v>
          </cell>
          <cell r="C165" t="str">
            <v>D008</v>
          </cell>
          <cell r="D165">
            <v>45135</v>
          </cell>
          <cell r="F165" t="str">
            <v>Therapy</v>
          </cell>
          <cell r="G165" t="str">
            <v>Cancelled</v>
          </cell>
        </row>
        <row r="166">
          <cell r="A166" t="str">
            <v>A165</v>
          </cell>
          <cell r="B166" t="str">
            <v>P031</v>
          </cell>
          <cell r="C166" t="str">
            <v>D001</v>
          </cell>
          <cell r="D166">
            <v>45020</v>
          </cell>
          <cell r="F166" t="str">
            <v>Consultation</v>
          </cell>
          <cell r="G166" t="str">
            <v>Cancelled</v>
          </cell>
        </row>
        <row r="167">
          <cell r="A167" t="str">
            <v>A166</v>
          </cell>
          <cell r="B167" t="str">
            <v>P005</v>
          </cell>
          <cell r="C167" t="str">
            <v>D010</v>
          </cell>
          <cell r="D167">
            <v>44938</v>
          </cell>
          <cell r="F167" t="str">
            <v>Therapy</v>
          </cell>
          <cell r="G167" t="str">
            <v>No-show</v>
          </cell>
        </row>
        <row r="168">
          <cell r="A168" t="str">
            <v>A167</v>
          </cell>
          <cell r="B168" t="str">
            <v>P035</v>
          </cell>
          <cell r="C168" t="str">
            <v>D001</v>
          </cell>
          <cell r="D168">
            <v>45245</v>
          </cell>
          <cell r="F168" t="str">
            <v>Follow-up</v>
          </cell>
          <cell r="G168" t="str">
            <v>Scheduled</v>
          </cell>
        </row>
        <row r="169">
          <cell r="A169" t="str">
            <v>A168</v>
          </cell>
          <cell r="B169" t="str">
            <v>P023</v>
          </cell>
          <cell r="C169" t="str">
            <v>D004</v>
          </cell>
          <cell r="D169">
            <v>45198</v>
          </cell>
          <cell r="F169" t="str">
            <v>Consultation</v>
          </cell>
          <cell r="G169" t="str">
            <v>No-show</v>
          </cell>
        </row>
        <row r="170">
          <cell r="A170" t="str">
            <v>A169</v>
          </cell>
          <cell r="B170" t="str">
            <v>P029</v>
          </cell>
          <cell r="C170" t="str">
            <v>D008</v>
          </cell>
          <cell r="D170">
            <v>45131</v>
          </cell>
          <cell r="F170" t="str">
            <v>Follow-up</v>
          </cell>
          <cell r="G170" t="str">
            <v>Cancelled</v>
          </cell>
        </row>
        <row r="171">
          <cell r="A171" t="str">
            <v>A170</v>
          </cell>
          <cell r="B171" t="str">
            <v>P043</v>
          </cell>
          <cell r="C171" t="str">
            <v>D005</v>
          </cell>
          <cell r="D171">
            <v>44988</v>
          </cell>
          <cell r="F171" t="str">
            <v>Checkup</v>
          </cell>
          <cell r="G171" t="str">
            <v>Scheduled</v>
          </cell>
        </row>
        <row r="172">
          <cell r="A172" t="str">
            <v>A171</v>
          </cell>
          <cell r="B172" t="str">
            <v>P011</v>
          </cell>
          <cell r="C172" t="str">
            <v>D002</v>
          </cell>
          <cell r="D172">
            <v>45034</v>
          </cell>
          <cell r="F172" t="str">
            <v>Follow-up</v>
          </cell>
          <cell r="G172" t="str">
            <v>Cancelled</v>
          </cell>
        </row>
        <row r="173">
          <cell r="A173" t="str">
            <v>A172</v>
          </cell>
          <cell r="B173" t="str">
            <v>P018</v>
          </cell>
          <cell r="C173" t="str">
            <v>D006</v>
          </cell>
          <cell r="D173">
            <v>44994</v>
          </cell>
          <cell r="F173" t="str">
            <v>Checkup</v>
          </cell>
          <cell r="G173" t="str">
            <v>Scheduled</v>
          </cell>
        </row>
        <row r="174">
          <cell r="A174" t="str">
            <v>A173</v>
          </cell>
          <cell r="B174" t="str">
            <v>P047</v>
          </cell>
          <cell r="C174" t="str">
            <v>D005</v>
          </cell>
          <cell r="D174">
            <v>45081</v>
          </cell>
          <cell r="F174" t="str">
            <v>Checkup</v>
          </cell>
          <cell r="G174" t="str">
            <v>Completed</v>
          </cell>
        </row>
        <row r="175">
          <cell r="A175" t="str">
            <v>A174</v>
          </cell>
          <cell r="B175" t="str">
            <v>P012</v>
          </cell>
          <cell r="C175" t="str">
            <v>D002</v>
          </cell>
          <cell r="D175">
            <v>45230</v>
          </cell>
          <cell r="F175" t="str">
            <v>Follow-up</v>
          </cell>
          <cell r="G175" t="str">
            <v>Cancelled</v>
          </cell>
        </row>
        <row r="176">
          <cell r="A176" t="str">
            <v>A175</v>
          </cell>
          <cell r="B176" t="str">
            <v>P009</v>
          </cell>
          <cell r="C176" t="str">
            <v>D003</v>
          </cell>
          <cell r="D176">
            <v>45221</v>
          </cell>
          <cell r="F176" t="str">
            <v>Consultation</v>
          </cell>
          <cell r="G176" t="str">
            <v>Cancelled</v>
          </cell>
        </row>
        <row r="177">
          <cell r="A177" t="str">
            <v>A176</v>
          </cell>
          <cell r="B177" t="str">
            <v>P010</v>
          </cell>
          <cell r="C177" t="str">
            <v>D009</v>
          </cell>
          <cell r="D177">
            <v>45042</v>
          </cell>
          <cell r="F177" t="str">
            <v>Therapy</v>
          </cell>
          <cell r="G177" t="str">
            <v>No-show</v>
          </cell>
        </row>
        <row r="178">
          <cell r="A178" t="str">
            <v>A177</v>
          </cell>
          <cell r="B178" t="str">
            <v>P044</v>
          </cell>
          <cell r="C178" t="str">
            <v>D007</v>
          </cell>
          <cell r="D178">
            <v>45154</v>
          </cell>
          <cell r="F178" t="str">
            <v>Therapy</v>
          </cell>
          <cell r="G178" t="str">
            <v>Cancelled</v>
          </cell>
        </row>
        <row r="179">
          <cell r="A179" t="str">
            <v>A178</v>
          </cell>
          <cell r="B179" t="str">
            <v>P017</v>
          </cell>
          <cell r="C179" t="str">
            <v>D007</v>
          </cell>
          <cell r="D179">
            <v>44943</v>
          </cell>
          <cell r="F179" t="str">
            <v>Checkup</v>
          </cell>
          <cell r="G179" t="str">
            <v>Cancelled</v>
          </cell>
        </row>
        <row r="180">
          <cell r="A180" t="str">
            <v>A179</v>
          </cell>
          <cell r="B180" t="str">
            <v>P038</v>
          </cell>
          <cell r="C180" t="str">
            <v>D006</v>
          </cell>
          <cell r="D180">
            <v>44993</v>
          </cell>
          <cell r="F180" t="str">
            <v>Checkup</v>
          </cell>
          <cell r="G180" t="str">
            <v>Completed</v>
          </cell>
        </row>
        <row r="181">
          <cell r="A181" t="str">
            <v>A180</v>
          </cell>
          <cell r="B181" t="str">
            <v>P007</v>
          </cell>
          <cell r="C181" t="str">
            <v>D008</v>
          </cell>
          <cell r="D181">
            <v>44933</v>
          </cell>
          <cell r="F181" t="str">
            <v>Consultation</v>
          </cell>
          <cell r="G181" t="str">
            <v>Cancelled</v>
          </cell>
        </row>
        <row r="182">
          <cell r="A182" t="str">
            <v>A181</v>
          </cell>
          <cell r="B182" t="str">
            <v>P046</v>
          </cell>
          <cell r="C182" t="str">
            <v>D004</v>
          </cell>
          <cell r="D182">
            <v>45172</v>
          </cell>
          <cell r="F182" t="str">
            <v>Emergency</v>
          </cell>
          <cell r="G182" t="str">
            <v>Completed</v>
          </cell>
        </row>
        <row r="183">
          <cell r="A183" t="str">
            <v>A182</v>
          </cell>
          <cell r="B183" t="str">
            <v>P013</v>
          </cell>
          <cell r="C183" t="str">
            <v>D008</v>
          </cell>
          <cell r="D183">
            <v>45028</v>
          </cell>
          <cell r="F183" t="str">
            <v>Follow-up</v>
          </cell>
          <cell r="G183" t="str">
            <v>Completed</v>
          </cell>
        </row>
        <row r="184">
          <cell r="A184" t="str">
            <v>A183</v>
          </cell>
          <cell r="B184" t="str">
            <v>P040</v>
          </cell>
          <cell r="C184" t="str">
            <v>D004</v>
          </cell>
          <cell r="D184">
            <v>44960</v>
          </cell>
          <cell r="F184" t="str">
            <v>Checkup</v>
          </cell>
          <cell r="G184" t="str">
            <v>Completed</v>
          </cell>
        </row>
        <row r="185">
          <cell r="A185" t="str">
            <v>A184</v>
          </cell>
          <cell r="B185" t="str">
            <v>P042</v>
          </cell>
          <cell r="C185" t="str">
            <v>D008</v>
          </cell>
          <cell r="D185">
            <v>44983</v>
          </cell>
          <cell r="F185" t="str">
            <v>Therapy</v>
          </cell>
          <cell r="G185" t="str">
            <v>Completed</v>
          </cell>
        </row>
        <row r="186">
          <cell r="A186" t="str">
            <v>A185</v>
          </cell>
          <cell r="B186" t="str">
            <v>P009</v>
          </cell>
          <cell r="C186" t="str">
            <v>D009</v>
          </cell>
          <cell r="D186">
            <v>45006</v>
          </cell>
          <cell r="F186" t="str">
            <v>Consultation</v>
          </cell>
          <cell r="G186" t="str">
            <v>Scheduled</v>
          </cell>
        </row>
        <row r="187">
          <cell r="A187" t="str">
            <v>A186</v>
          </cell>
          <cell r="B187" t="str">
            <v>P050</v>
          </cell>
          <cell r="C187" t="str">
            <v>D003</v>
          </cell>
          <cell r="D187">
            <v>45012</v>
          </cell>
          <cell r="F187" t="str">
            <v>Follow-up</v>
          </cell>
          <cell r="G187" t="str">
            <v>No-show</v>
          </cell>
        </row>
        <row r="188">
          <cell r="A188" t="str">
            <v>A187</v>
          </cell>
          <cell r="B188" t="str">
            <v>P027</v>
          </cell>
          <cell r="C188" t="str">
            <v>D003</v>
          </cell>
          <cell r="D188">
            <v>44970</v>
          </cell>
          <cell r="F188" t="str">
            <v>Consultation</v>
          </cell>
          <cell r="G188" t="str">
            <v>Scheduled</v>
          </cell>
        </row>
        <row r="189">
          <cell r="A189" t="str">
            <v>A188</v>
          </cell>
          <cell r="B189" t="str">
            <v>P002</v>
          </cell>
          <cell r="C189" t="str">
            <v>D002</v>
          </cell>
          <cell r="D189">
            <v>45028</v>
          </cell>
          <cell r="F189" t="str">
            <v>Follow-up</v>
          </cell>
          <cell r="G189" t="str">
            <v>Cancelled</v>
          </cell>
        </row>
        <row r="190">
          <cell r="A190" t="str">
            <v>A189</v>
          </cell>
          <cell r="B190" t="str">
            <v>P005</v>
          </cell>
          <cell r="C190" t="str">
            <v>D010</v>
          </cell>
          <cell r="D190">
            <v>45204</v>
          </cell>
          <cell r="F190" t="str">
            <v>Follow-up</v>
          </cell>
          <cell r="G190" t="str">
            <v>Scheduled</v>
          </cell>
        </row>
        <row r="191">
          <cell r="A191" t="str">
            <v>A190</v>
          </cell>
          <cell r="B191" t="str">
            <v>P029</v>
          </cell>
          <cell r="C191" t="str">
            <v>D003</v>
          </cell>
          <cell r="D191">
            <v>45246</v>
          </cell>
          <cell r="F191" t="str">
            <v>Checkup</v>
          </cell>
          <cell r="G191" t="str">
            <v>Scheduled</v>
          </cell>
        </row>
        <row r="192">
          <cell r="A192" t="str">
            <v>A191</v>
          </cell>
          <cell r="B192" t="str">
            <v>P037</v>
          </cell>
          <cell r="C192" t="str">
            <v>D003</v>
          </cell>
          <cell r="D192">
            <v>45028</v>
          </cell>
          <cell r="F192" t="str">
            <v>Consultation</v>
          </cell>
          <cell r="G192" t="str">
            <v>Cancelled</v>
          </cell>
        </row>
        <row r="193">
          <cell r="A193" t="str">
            <v>A192</v>
          </cell>
          <cell r="B193" t="str">
            <v>P038</v>
          </cell>
          <cell r="C193" t="str">
            <v>D005</v>
          </cell>
          <cell r="D193">
            <v>45169</v>
          </cell>
          <cell r="F193" t="str">
            <v>Consultation</v>
          </cell>
          <cell r="G193" t="str">
            <v>Cancelled</v>
          </cell>
        </row>
        <row r="194">
          <cell r="A194" t="str">
            <v>A193</v>
          </cell>
          <cell r="B194" t="str">
            <v>P019</v>
          </cell>
          <cell r="C194" t="str">
            <v>D005</v>
          </cell>
          <cell r="D194">
            <v>45184</v>
          </cell>
          <cell r="F194" t="str">
            <v>Therapy</v>
          </cell>
          <cell r="G194" t="str">
            <v>Cancelled</v>
          </cell>
        </row>
        <row r="195">
          <cell r="A195" t="str">
            <v>A194</v>
          </cell>
          <cell r="B195" t="str">
            <v>P008</v>
          </cell>
          <cell r="C195" t="str">
            <v>D002</v>
          </cell>
          <cell r="D195">
            <v>45022</v>
          </cell>
          <cell r="F195" t="str">
            <v>Therapy</v>
          </cell>
          <cell r="G195" t="str">
            <v>Scheduled</v>
          </cell>
        </row>
        <row r="196">
          <cell r="A196" t="str">
            <v>A195</v>
          </cell>
          <cell r="B196" t="str">
            <v>P048</v>
          </cell>
          <cell r="C196" t="str">
            <v>D010</v>
          </cell>
          <cell r="D196">
            <v>45157</v>
          </cell>
          <cell r="F196" t="str">
            <v>Checkup</v>
          </cell>
          <cell r="G196" t="str">
            <v>Scheduled</v>
          </cell>
        </row>
        <row r="197">
          <cell r="A197" t="str">
            <v>A196</v>
          </cell>
          <cell r="B197" t="str">
            <v>P045</v>
          </cell>
          <cell r="C197" t="str">
            <v>D006</v>
          </cell>
          <cell r="D197">
            <v>45225</v>
          </cell>
          <cell r="F197" t="str">
            <v>Checkup</v>
          </cell>
          <cell r="G197" t="str">
            <v>Cancelled</v>
          </cell>
        </row>
        <row r="198">
          <cell r="A198" t="str">
            <v>A197</v>
          </cell>
          <cell r="B198" t="str">
            <v>P001</v>
          </cell>
          <cell r="C198" t="str">
            <v>D005</v>
          </cell>
          <cell r="D198">
            <v>45017</v>
          </cell>
          <cell r="F198" t="str">
            <v>Emergency</v>
          </cell>
          <cell r="G198" t="str">
            <v>No-show</v>
          </cell>
        </row>
        <row r="199">
          <cell r="A199" t="str">
            <v>A198</v>
          </cell>
          <cell r="B199" t="str">
            <v>P022</v>
          </cell>
          <cell r="C199" t="str">
            <v>D006</v>
          </cell>
          <cell r="D199">
            <v>45061</v>
          </cell>
          <cell r="F199" t="str">
            <v>Therapy</v>
          </cell>
          <cell r="G199" t="str">
            <v>No-show</v>
          </cell>
        </row>
        <row r="200">
          <cell r="A200" t="str">
            <v>A199</v>
          </cell>
          <cell r="B200" t="str">
            <v>P017</v>
          </cell>
          <cell r="C200" t="str">
            <v>D001</v>
          </cell>
          <cell r="D200">
            <v>45047</v>
          </cell>
          <cell r="F200" t="str">
            <v>Follow-up</v>
          </cell>
          <cell r="G200" t="str">
            <v>Completed</v>
          </cell>
        </row>
        <row r="201">
          <cell r="A201" t="str">
            <v>A200</v>
          </cell>
          <cell r="B201" t="str">
            <v>P007</v>
          </cell>
          <cell r="C201" t="str">
            <v>D005</v>
          </cell>
          <cell r="D201">
            <v>45290</v>
          </cell>
          <cell r="F201" t="str">
            <v>Consultation</v>
          </cell>
          <cell r="G201" t="str">
            <v>Cancelled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tients"/>
    </sheetNames>
    <sheetDataSet>
      <sheetData sheetId="0">
        <row r="1">
          <cell r="A1" t="str">
            <v>patient_id</v>
          </cell>
          <cell r="B1" t="str">
            <v>first_name</v>
          </cell>
          <cell r="C1" t="str">
            <v>last_name</v>
          </cell>
          <cell r="D1" t="str">
            <v>gender</v>
          </cell>
          <cell r="I1" t="str">
            <v>insurance_provider</v>
          </cell>
        </row>
        <row r="2">
          <cell r="A2" t="str">
            <v>P001</v>
          </cell>
          <cell r="B2" t="str">
            <v>David</v>
          </cell>
          <cell r="C2" t="str">
            <v>Williams</v>
          </cell>
          <cell r="D2" t="str">
            <v>F</v>
          </cell>
          <cell r="I2" t="str">
            <v>WellnessCorp</v>
          </cell>
        </row>
        <row r="3">
          <cell r="A3" t="str">
            <v>P002</v>
          </cell>
          <cell r="B3" t="str">
            <v>Emily</v>
          </cell>
          <cell r="C3" t="str">
            <v>Smith</v>
          </cell>
          <cell r="D3" t="str">
            <v>F</v>
          </cell>
          <cell r="I3" t="str">
            <v>PulseSecure</v>
          </cell>
        </row>
        <row r="4">
          <cell r="A4" t="str">
            <v>P003</v>
          </cell>
          <cell r="B4" t="str">
            <v>Laura</v>
          </cell>
          <cell r="C4" t="str">
            <v>Jones</v>
          </cell>
          <cell r="D4" t="str">
            <v>M</v>
          </cell>
          <cell r="I4" t="str">
            <v>PulseSecure</v>
          </cell>
        </row>
        <row r="5">
          <cell r="A5" t="str">
            <v>P004</v>
          </cell>
          <cell r="B5" t="str">
            <v>Michael</v>
          </cell>
          <cell r="C5" t="str">
            <v>Johnson</v>
          </cell>
          <cell r="D5" t="str">
            <v>F</v>
          </cell>
          <cell r="I5" t="str">
            <v>HealthIndia</v>
          </cell>
        </row>
        <row r="6">
          <cell r="A6" t="str">
            <v>P005</v>
          </cell>
          <cell r="B6" t="str">
            <v>David</v>
          </cell>
          <cell r="C6" t="str">
            <v>Wilson</v>
          </cell>
          <cell r="D6" t="str">
            <v>M</v>
          </cell>
          <cell r="I6" t="str">
            <v>MedCare Plus</v>
          </cell>
        </row>
        <row r="7">
          <cell r="A7" t="str">
            <v>P006</v>
          </cell>
          <cell r="B7" t="str">
            <v>Linda</v>
          </cell>
          <cell r="C7" t="str">
            <v>Jones</v>
          </cell>
          <cell r="D7" t="str">
            <v>M</v>
          </cell>
          <cell r="I7" t="str">
            <v>HealthIndia</v>
          </cell>
        </row>
        <row r="8">
          <cell r="A8" t="str">
            <v>P007</v>
          </cell>
          <cell r="B8" t="str">
            <v>Alex</v>
          </cell>
          <cell r="C8" t="str">
            <v>Johnson</v>
          </cell>
          <cell r="D8" t="str">
            <v>F</v>
          </cell>
          <cell r="I8" t="str">
            <v>MedCare Plus</v>
          </cell>
        </row>
        <row r="9">
          <cell r="A9" t="str">
            <v>P008</v>
          </cell>
          <cell r="B9" t="str">
            <v>David</v>
          </cell>
          <cell r="C9" t="str">
            <v>Davis</v>
          </cell>
          <cell r="D9" t="str">
            <v>F</v>
          </cell>
          <cell r="I9" t="str">
            <v>WellnessCorp</v>
          </cell>
        </row>
        <row r="10">
          <cell r="A10" t="str">
            <v>P009</v>
          </cell>
          <cell r="B10" t="str">
            <v>Laura</v>
          </cell>
          <cell r="C10" t="str">
            <v>Davis</v>
          </cell>
          <cell r="D10" t="str">
            <v>M</v>
          </cell>
          <cell r="I10" t="str">
            <v>PulseSecure</v>
          </cell>
        </row>
        <row r="11">
          <cell r="A11" t="str">
            <v>P010</v>
          </cell>
          <cell r="B11" t="str">
            <v>Michael</v>
          </cell>
          <cell r="C11" t="str">
            <v>Taylor</v>
          </cell>
          <cell r="D11" t="str">
            <v>M</v>
          </cell>
          <cell r="I11" t="str">
            <v>WellnessCorp</v>
          </cell>
        </row>
        <row r="12">
          <cell r="A12" t="str">
            <v>P011</v>
          </cell>
          <cell r="B12" t="str">
            <v>Emily</v>
          </cell>
          <cell r="C12" t="str">
            <v>Jones</v>
          </cell>
          <cell r="D12" t="str">
            <v>F</v>
          </cell>
          <cell r="I12" t="str">
            <v>MedCare Plus</v>
          </cell>
        </row>
        <row r="13">
          <cell r="A13" t="str">
            <v>P012</v>
          </cell>
          <cell r="B13" t="str">
            <v>Laura</v>
          </cell>
          <cell r="C13" t="str">
            <v>Davis</v>
          </cell>
          <cell r="D13" t="str">
            <v>F</v>
          </cell>
          <cell r="I13" t="str">
            <v>MedCare Plus</v>
          </cell>
        </row>
        <row r="14">
          <cell r="A14" t="str">
            <v>P013</v>
          </cell>
          <cell r="B14" t="str">
            <v>Laura</v>
          </cell>
          <cell r="C14" t="str">
            <v>Johnson</v>
          </cell>
          <cell r="D14" t="str">
            <v>F</v>
          </cell>
          <cell r="I14" t="str">
            <v>WellnessCorp</v>
          </cell>
        </row>
        <row r="15">
          <cell r="A15" t="str">
            <v>P014</v>
          </cell>
          <cell r="B15" t="str">
            <v>Alex</v>
          </cell>
          <cell r="C15" t="str">
            <v>Taylor</v>
          </cell>
          <cell r="D15" t="str">
            <v>M</v>
          </cell>
          <cell r="I15" t="str">
            <v>MedCare Plus</v>
          </cell>
        </row>
        <row r="16">
          <cell r="A16" t="str">
            <v>P015</v>
          </cell>
          <cell r="B16" t="str">
            <v>Sarah</v>
          </cell>
          <cell r="C16" t="str">
            <v>Johnson</v>
          </cell>
          <cell r="D16" t="str">
            <v>M</v>
          </cell>
          <cell r="I16" t="str">
            <v>WellnessCorp</v>
          </cell>
        </row>
        <row r="17">
          <cell r="A17" t="str">
            <v>P016</v>
          </cell>
          <cell r="B17" t="str">
            <v>Michael</v>
          </cell>
          <cell r="C17" t="str">
            <v>Taylor</v>
          </cell>
          <cell r="D17" t="str">
            <v>M</v>
          </cell>
          <cell r="I17" t="str">
            <v>PulseSecure</v>
          </cell>
        </row>
        <row r="18">
          <cell r="A18" t="str">
            <v>P017</v>
          </cell>
          <cell r="B18" t="str">
            <v>Jane</v>
          </cell>
          <cell r="C18" t="str">
            <v>Jones</v>
          </cell>
          <cell r="D18" t="str">
            <v>M</v>
          </cell>
          <cell r="I18" t="str">
            <v>WellnessCorp</v>
          </cell>
        </row>
        <row r="19">
          <cell r="A19" t="str">
            <v>P018</v>
          </cell>
          <cell r="B19" t="str">
            <v>Laura</v>
          </cell>
          <cell r="C19" t="str">
            <v>Wilson</v>
          </cell>
          <cell r="D19" t="str">
            <v>M</v>
          </cell>
          <cell r="I19" t="str">
            <v>PulseSecure</v>
          </cell>
        </row>
        <row r="20">
          <cell r="A20" t="str">
            <v>P019</v>
          </cell>
          <cell r="B20" t="str">
            <v>Sarah</v>
          </cell>
          <cell r="C20" t="str">
            <v>Miller</v>
          </cell>
          <cell r="D20" t="str">
            <v>M</v>
          </cell>
          <cell r="I20" t="str">
            <v>WellnessCorp</v>
          </cell>
        </row>
        <row r="21">
          <cell r="A21" t="str">
            <v>P020</v>
          </cell>
          <cell r="B21" t="str">
            <v>Jane</v>
          </cell>
          <cell r="C21" t="str">
            <v>Moore</v>
          </cell>
          <cell r="D21" t="str">
            <v>F</v>
          </cell>
          <cell r="I21" t="str">
            <v>MedCare Plus</v>
          </cell>
        </row>
        <row r="22">
          <cell r="A22" t="str">
            <v>P021</v>
          </cell>
          <cell r="B22" t="str">
            <v>Michael</v>
          </cell>
          <cell r="C22" t="str">
            <v>Wilson</v>
          </cell>
          <cell r="D22" t="str">
            <v>M</v>
          </cell>
          <cell r="I22" t="str">
            <v>WellnessCorp</v>
          </cell>
        </row>
        <row r="23">
          <cell r="A23" t="str">
            <v>P022</v>
          </cell>
          <cell r="B23" t="str">
            <v>John</v>
          </cell>
          <cell r="C23" t="str">
            <v>Brown</v>
          </cell>
          <cell r="D23" t="str">
            <v>M</v>
          </cell>
          <cell r="I23" t="str">
            <v>MedCare Plus</v>
          </cell>
        </row>
        <row r="24">
          <cell r="A24" t="str">
            <v>P023</v>
          </cell>
          <cell r="B24" t="str">
            <v>Linda</v>
          </cell>
          <cell r="C24" t="str">
            <v>Johnson</v>
          </cell>
          <cell r="D24" t="str">
            <v>M</v>
          </cell>
          <cell r="I24" t="str">
            <v>WellnessCorp</v>
          </cell>
        </row>
        <row r="25">
          <cell r="A25" t="str">
            <v>P024</v>
          </cell>
          <cell r="B25" t="str">
            <v>Sarah</v>
          </cell>
          <cell r="C25" t="str">
            <v>Brown</v>
          </cell>
          <cell r="D25" t="str">
            <v>F</v>
          </cell>
          <cell r="I25" t="str">
            <v>WellnessCorp</v>
          </cell>
        </row>
        <row r="26">
          <cell r="A26" t="str">
            <v>P025</v>
          </cell>
          <cell r="B26" t="str">
            <v>Robert</v>
          </cell>
          <cell r="C26" t="str">
            <v>Wilson</v>
          </cell>
          <cell r="D26" t="str">
            <v>M</v>
          </cell>
          <cell r="I26" t="str">
            <v>HealthIndia</v>
          </cell>
        </row>
        <row r="27">
          <cell r="A27" t="str">
            <v>P026</v>
          </cell>
          <cell r="B27" t="str">
            <v>John</v>
          </cell>
          <cell r="C27" t="str">
            <v>Taylor</v>
          </cell>
          <cell r="D27" t="str">
            <v>M</v>
          </cell>
          <cell r="I27" t="str">
            <v>MedCare Plus</v>
          </cell>
        </row>
        <row r="28">
          <cell r="A28" t="str">
            <v>P027</v>
          </cell>
          <cell r="B28" t="str">
            <v>Linda</v>
          </cell>
          <cell r="C28" t="str">
            <v>Moore</v>
          </cell>
          <cell r="D28" t="str">
            <v>F</v>
          </cell>
          <cell r="I28" t="str">
            <v>HealthIndia</v>
          </cell>
        </row>
        <row r="29">
          <cell r="A29" t="str">
            <v>P028</v>
          </cell>
          <cell r="B29" t="str">
            <v>Alex</v>
          </cell>
          <cell r="C29" t="str">
            <v>Moore</v>
          </cell>
          <cell r="D29" t="str">
            <v>M</v>
          </cell>
          <cell r="I29" t="str">
            <v>MedCare Plus</v>
          </cell>
        </row>
        <row r="30">
          <cell r="A30" t="str">
            <v>P029</v>
          </cell>
          <cell r="B30" t="str">
            <v>David</v>
          </cell>
          <cell r="C30" t="str">
            <v>Smith</v>
          </cell>
          <cell r="D30" t="str">
            <v>M</v>
          </cell>
          <cell r="I30" t="str">
            <v>HealthIndia</v>
          </cell>
        </row>
        <row r="31">
          <cell r="A31" t="str">
            <v>P030</v>
          </cell>
          <cell r="B31" t="str">
            <v>Emily</v>
          </cell>
          <cell r="C31" t="str">
            <v>Moore</v>
          </cell>
          <cell r="D31" t="str">
            <v>M</v>
          </cell>
          <cell r="I31" t="str">
            <v>PulseSecure</v>
          </cell>
        </row>
        <row r="32">
          <cell r="A32" t="str">
            <v>P031</v>
          </cell>
          <cell r="B32" t="str">
            <v>Robert</v>
          </cell>
          <cell r="C32" t="str">
            <v>Miller</v>
          </cell>
          <cell r="D32" t="str">
            <v>M</v>
          </cell>
          <cell r="I32" t="str">
            <v>WellnessCorp</v>
          </cell>
        </row>
        <row r="33">
          <cell r="A33" t="str">
            <v>P032</v>
          </cell>
          <cell r="B33" t="str">
            <v>Alex</v>
          </cell>
          <cell r="C33" t="str">
            <v>Moore</v>
          </cell>
          <cell r="D33" t="str">
            <v>M</v>
          </cell>
          <cell r="I33" t="str">
            <v>MedCare Plus</v>
          </cell>
        </row>
        <row r="34">
          <cell r="A34" t="str">
            <v>P033</v>
          </cell>
          <cell r="B34" t="str">
            <v>Michael</v>
          </cell>
          <cell r="C34" t="str">
            <v>Wilson</v>
          </cell>
          <cell r="D34" t="str">
            <v>F</v>
          </cell>
          <cell r="I34" t="str">
            <v>MedCare Plus</v>
          </cell>
        </row>
        <row r="35">
          <cell r="A35" t="str">
            <v>P034</v>
          </cell>
          <cell r="B35" t="str">
            <v>Alex</v>
          </cell>
          <cell r="C35" t="str">
            <v>Smith</v>
          </cell>
          <cell r="D35" t="str">
            <v>F</v>
          </cell>
          <cell r="I35" t="str">
            <v>WellnessCorp</v>
          </cell>
        </row>
        <row r="36">
          <cell r="A36" t="str">
            <v>P035</v>
          </cell>
          <cell r="B36" t="str">
            <v>David</v>
          </cell>
          <cell r="C36" t="str">
            <v>Wilson</v>
          </cell>
          <cell r="D36" t="str">
            <v>F</v>
          </cell>
          <cell r="I36" t="str">
            <v>MedCare Plus</v>
          </cell>
        </row>
        <row r="37">
          <cell r="A37" t="str">
            <v>P036</v>
          </cell>
          <cell r="B37" t="str">
            <v>Michael</v>
          </cell>
          <cell r="C37" t="str">
            <v>Wilson</v>
          </cell>
          <cell r="D37" t="str">
            <v>M</v>
          </cell>
          <cell r="I37" t="str">
            <v>MedCare Plus</v>
          </cell>
        </row>
        <row r="38">
          <cell r="A38" t="str">
            <v>P037</v>
          </cell>
          <cell r="B38" t="str">
            <v>Robert</v>
          </cell>
          <cell r="C38" t="str">
            <v>Williams</v>
          </cell>
          <cell r="D38" t="str">
            <v>M</v>
          </cell>
          <cell r="I38" t="str">
            <v>HealthIndia</v>
          </cell>
        </row>
        <row r="39">
          <cell r="A39" t="str">
            <v>P038</v>
          </cell>
          <cell r="B39" t="str">
            <v>David</v>
          </cell>
          <cell r="C39" t="str">
            <v>Smith</v>
          </cell>
          <cell r="D39" t="str">
            <v>M</v>
          </cell>
          <cell r="I39" t="str">
            <v>MedCare Plus</v>
          </cell>
        </row>
        <row r="40">
          <cell r="A40" t="str">
            <v>P039</v>
          </cell>
          <cell r="B40" t="str">
            <v>Jane</v>
          </cell>
          <cell r="C40" t="str">
            <v>Wilson</v>
          </cell>
          <cell r="D40" t="str">
            <v>F</v>
          </cell>
          <cell r="I40" t="str">
            <v>PulseSecure</v>
          </cell>
        </row>
        <row r="41">
          <cell r="A41" t="str">
            <v>P040</v>
          </cell>
          <cell r="B41" t="str">
            <v>Emily</v>
          </cell>
          <cell r="C41" t="str">
            <v>Williams</v>
          </cell>
          <cell r="D41" t="str">
            <v>M</v>
          </cell>
          <cell r="I41" t="str">
            <v>PulseSecure</v>
          </cell>
        </row>
        <row r="42">
          <cell r="A42" t="str">
            <v>P041</v>
          </cell>
          <cell r="B42" t="str">
            <v>Robert</v>
          </cell>
          <cell r="C42" t="str">
            <v>Williams</v>
          </cell>
          <cell r="D42" t="str">
            <v>M</v>
          </cell>
          <cell r="I42" t="str">
            <v>WellnessCorp</v>
          </cell>
        </row>
        <row r="43">
          <cell r="A43" t="str">
            <v>P042</v>
          </cell>
          <cell r="B43" t="str">
            <v>Jane</v>
          </cell>
          <cell r="C43" t="str">
            <v>Smith</v>
          </cell>
          <cell r="D43" t="str">
            <v>F</v>
          </cell>
          <cell r="I43" t="str">
            <v>MedCare Plus</v>
          </cell>
        </row>
        <row r="44">
          <cell r="A44" t="str">
            <v>P043</v>
          </cell>
          <cell r="B44" t="str">
            <v>Linda</v>
          </cell>
          <cell r="C44" t="str">
            <v>Brown</v>
          </cell>
          <cell r="D44" t="str">
            <v>M</v>
          </cell>
          <cell r="I44" t="str">
            <v>WellnessCorp</v>
          </cell>
        </row>
        <row r="45">
          <cell r="A45" t="str">
            <v>P044</v>
          </cell>
          <cell r="B45" t="str">
            <v>Robert</v>
          </cell>
          <cell r="C45" t="str">
            <v>Taylor</v>
          </cell>
          <cell r="D45" t="str">
            <v>F</v>
          </cell>
          <cell r="I45" t="str">
            <v>PulseSecure</v>
          </cell>
        </row>
        <row r="46">
          <cell r="A46" t="str">
            <v>P045</v>
          </cell>
          <cell r="B46" t="str">
            <v>Linda</v>
          </cell>
          <cell r="C46" t="str">
            <v>Miller</v>
          </cell>
          <cell r="D46" t="str">
            <v>F</v>
          </cell>
          <cell r="I46" t="str">
            <v>MedCare Plus</v>
          </cell>
        </row>
        <row r="47">
          <cell r="A47" t="str">
            <v>P046</v>
          </cell>
          <cell r="B47" t="str">
            <v>Michael</v>
          </cell>
          <cell r="C47" t="str">
            <v>Taylor</v>
          </cell>
          <cell r="D47" t="str">
            <v>F</v>
          </cell>
          <cell r="I47" t="str">
            <v>MedCare Plus</v>
          </cell>
        </row>
        <row r="48">
          <cell r="A48" t="str">
            <v>P047</v>
          </cell>
          <cell r="B48" t="str">
            <v>Jane</v>
          </cell>
          <cell r="C48" t="str">
            <v>Moore</v>
          </cell>
          <cell r="D48" t="str">
            <v>M</v>
          </cell>
          <cell r="I48" t="str">
            <v>WellnessCorp</v>
          </cell>
        </row>
        <row r="49">
          <cell r="A49" t="str">
            <v>P048</v>
          </cell>
          <cell r="B49" t="str">
            <v>Emily</v>
          </cell>
          <cell r="C49" t="str">
            <v>Miller</v>
          </cell>
          <cell r="D49" t="str">
            <v>M</v>
          </cell>
          <cell r="I49" t="str">
            <v>PulseSecure</v>
          </cell>
        </row>
        <row r="50">
          <cell r="A50" t="str">
            <v>P049</v>
          </cell>
          <cell r="B50" t="str">
            <v>David</v>
          </cell>
          <cell r="C50" t="str">
            <v>Moore</v>
          </cell>
          <cell r="D50" t="str">
            <v>M</v>
          </cell>
          <cell r="I50" t="str">
            <v>MedCare Plus</v>
          </cell>
        </row>
        <row r="51">
          <cell r="A51" t="str">
            <v>P050</v>
          </cell>
          <cell r="B51" t="str">
            <v>Laura</v>
          </cell>
          <cell r="C51" t="str">
            <v>Wilson</v>
          </cell>
          <cell r="D51" t="str">
            <v>M</v>
          </cell>
          <cell r="I51" t="str">
            <v>WellnessCorp</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tors"/>
    </sheetNames>
    <sheetDataSet>
      <sheetData sheetId="0">
        <row r="1">
          <cell r="A1" t="str">
            <v>doctor_id</v>
          </cell>
          <cell r="B1" t="str">
            <v>first_name</v>
          </cell>
          <cell r="C1" t="str">
            <v>last_name</v>
          </cell>
          <cell r="D1" t="str">
            <v>specialization</v>
          </cell>
        </row>
        <row r="2">
          <cell r="A2" t="str">
            <v>D001</v>
          </cell>
          <cell r="B2" t="str">
            <v>David</v>
          </cell>
          <cell r="C2" t="str">
            <v>Taylor</v>
          </cell>
          <cell r="D2" t="str">
            <v>Dermatology</v>
          </cell>
        </row>
        <row r="3">
          <cell r="A3" t="str">
            <v>D002</v>
          </cell>
          <cell r="B3" t="str">
            <v>Jane</v>
          </cell>
          <cell r="C3" t="str">
            <v>Davis</v>
          </cell>
          <cell r="D3" t="str">
            <v>Pediatrics</v>
          </cell>
        </row>
        <row r="4">
          <cell r="A4" t="str">
            <v>D003</v>
          </cell>
          <cell r="B4" t="str">
            <v>Jane</v>
          </cell>
          <cell r="C4" t="str">
            <v>Smith</v>
          </cell>
          <cell r="D4" t="str">
            <v>Pediatrics</v>
          </cell>
        </row>
        <row r="5">
          <cell r="A5" t="str">
            <v>D004</v>
          </cell>
          <cell r="B5" t="str">
            <v>David</v>
          </cell>
          <cell r="C5" t="str">
            <v>Jones</v>
          </cell>
          <cell r="D5" t="str">
            <v>Pediatrics</v>
          </cell>
        </row>
        <row r="6">
          <cell r="A6" t="str">
            <v>D005</v>
          </cell>
          <cell r="B6" t="str">
            <v>Sarah</v>
          </cell>
          <cell r="C6" t="str">
            <v>Taylor</v>
          </cell>
          <cell r="D6" t="str">
            <v>Dermatology</v>
          </cell>
        </row>
        <row r="7">
          <cell r="A7" t="str">
            <v>D006</v>
          </cell>
          <cell r="B7" t="str">
            <v>Alex</v>
          </cell>
          <cell r="C7" t="str">
            <v>Davis</v>
          </cell>
          <cell r="D7" t="str">
            <v>Pediatrics</v>
          </cell>
        </row>
        <row r="8">
          <cell r="A8" t="str">
            <v>D007</v>
          </cell>
          <cell r="B8" t="str">
            <v>Robert</v>
          </cell>
          <cell r="C8" t="str">
            <v>Davis</v>
          </cell>
          <cell r="D8" t="str">
            <v>Oncology</v>
          </cell>
        </row>
        <row r="9">
          <cell r="A9" t="str">
            <v>D008</v>
          </cell>
          <cell r="B9" t="str">
            <v>Linda</v>
          </cell>
          <cell r="C9" t="str">
            <v>Brown</v>
          </cell>
          <cell r="D9" t="str">
            <v>Dermatology</v>
          </cell>
        </row>
        <row r="10">
          <cell r="A10" t="str">
            <v>D009</v>
          </cell>
          <cell r="B10" t="str">
            <v>Sarah</v>
          </cell>
          <cell r="C10" t="str">
            <v>Smith</v>
          </cell>
          <cell r="D10" t="str">
            <v>Pediatrics</v>
          </cell>
        </row>
        <row r="11">
          <cell r="A11" t="str">
            <v>D010</v>
          </cell>
          <cell r="B11" t="str">
            <v>Linda</v>
          </cell>
          <cell r="C11" t="str">
            <v>Wilson</v>
          </cell>
          <cell r="D11" t="str">
            <v>Oncology</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70.492135995373" createdVersion="8" refreshedVersion="8" minRefreshableVersion="3" recordCount="207" xr:uid="{00000000-000A-0000-FFFF-FFFF19000000}">
  <cacheSource type="worksheet">
    <worksheetSource name="management_table"/>
  </cacheSource>
  <cacheFields count="20">
    <cacheField name="treatment_id" numFmtId="0">
      <sharedItems containsBlank="1"/>
    </cacheField>
    <cacheField name="appointment_id" numFmtId="0">
      <sharedItems containsBlank="1"/>
    </cacheField>
    <cacheField name="treatment_type" numFmtId="0">
      <sharedItems containsBlank="1" count="6">
        <s v="Chemotherapy"/>
        <s v="MRI"/>
        <s v="ECG"/>
        <s v="Physiotherapy"/>
        <s v="X-Ray"/>
        <m/>
      </sharedItems>
    </cacheField>
    <cacheField name="description" numFmtId="0">
      <sharedItems containsBlank="1" count="4">
        <s v="Basic screening"/>
        <s v="Advanced protocol"/>
        <s v="Standard procedure"/>
        <m/>
      </sharedItems>
    </cacheField>
    <cacheField name="cost" numFmtId="0">
      <sharedItems containsString="0" containsBlank="1" containsNumber="1" minValue="534.03" maxValue="4973.63"/>
    </cacheField>
    <cacheField name="treatment_date" numFmtId="0">
      <sharedItems containsNonDate="0" containsDate="1" containsString="0" containsBlank="1" minDate="2023-01-01T00:00:00" maxDate="2023-12-31T00:00:00" count="159">
        <d v="2023-08-09T00:00:00"/>
        <d v="2023-06-09T00:00:00"/>
        <d v="2023-06-28T00:00:00"/>
        <d v="2023-09-01T00:00:00"/>
        <d v="2023-07-06T00:00:00"/>
        <d v="2023-06-19T00:00:00"/>
        <d v="2023-04-09T00:00:00"/>
        <d v="2023-05-24T00:00:00"/>
        <d v="2023-03-05T00:00:00"/>
        <d v="2023-01-13T00:00:00"/>
        <d v="2023-11-12T00:00:00"/>
        <d v="2023-05-07T00:00:00"/>
        <d v="2023-08-16T00:00:00"/>
        <d v="2023-05-25T00:00:00"/>
        <d v="2023-01-15T00:00:00"/>
        <d v="2023-06-30T00:00:00"/>
        <d v="2023-07-11T00:00:00"/>
        <d v="2023-11-14T00:00:00"/>
        <d v="2023-02-06T00:00:00"/>
        <d v="2023-12-05T00:00:00"/>
        <d v="2023-04-24T00:00:00"/>
        <d v="2023-05-09T00:00:00"/>
        <d v="2023-06-21T00:00:00"/>
        <d v="2023-02-25T00:00:00"/>
        <d v="2023-03-17T00:00:00"/>
        <d v="2023-10-29T00:00:00"/>
        <d v="2023-06-25T00:00:00"/>
        <d v="2023-08-29T00:00:00"/>
        <d v="2023-04-04T00:00:00"/>
        <d v="2023-11-06T00:00:00"/>
        <d v="2023-09-23T00:00:00"/>
        <d v="2023-06-13T00:00:00"/>
        <d v="2023-04-18T00:00:00"/>
        <d v="2023-01-08T00:00:00"/>
        <d v="2023-03-28T00:00:00"/>
        <d v="2023-02-23T00:00:00"/>
        <d v="2023-04-17T00:00:00"/>
        <d v="2023-03-27T00:00:00"/>
        <d v="2023-01-01T00:00:00"/>
        <d v="2023-03-21T00:00:00"/>
        <d v="2023-03-29T00:00:00"/>
        <d v="2023-09-20T00:00:00"/>
        <d v="2023-09-28T00:00:00"/>
        <d v="2023-12-20T00:00:00"/>
        <d v="2023-05-02T00:00:00"/>
        <d v="2023-01-16T00:00:00"/>
        <d v="2023-04-30T00:00:00"/>
        <d v="2023-02-04T00:00:00"/>
        <d v="2023-07-12T00:00:00"/>
        <d v="2023-02-12T00:00:00"/>
        <d v="2023-12-16T00:00:00"/>
        <d v="2023-10-06T00:00:00"/>
        <d v="2023-01-02T00:00:00"/>
        <d v="2023-04-15T00:00:00"/>
        <d v="2023-03-09T00:00:00"/>
        <d v="2023-11-22T00:00:00"/>
        <d v="2023-06-14T00:00:00"/>
        <d v="2023-06-29T00:00:00"/>
        <d v="2023-05-31T00:00:00"/>
        <d v="2023-05-10T00:00:00"/>
        <d v="2023-08-10T00:00:00"/>
        <d v="2023-03-14T00:00:00"/>
        <d v="2023-08-26T00:00:00"/>
        <d v="2023-01-26T00:00:00"/>
        <d v="2023-06-12T00:00:00"/>
        <d v="2023-12-24T00:00:00"/>
        <d v="2023-07-23T00:00:00"/>
        <d v="2023-05-08T00:00:00"/>
        <d v="2023-11-27T00:00:00"/>
        <d v="2023-12-14T00:00:00"/>
        <d v="2023-09-17T00:00:00"/>
        <d v="2023-12-26T00:00:00"/>
        <d v="2023-06-26T00:00:00"/>
        <d v="2023-01-06T00:00:00"/>
        <d v="2023-01-20T00:00:00"/>
        <d v="2023-11-07T00:00:00"/>
        <d v="2023-02-18T00:00:00"/>
        <d v="2023-10-19T00:00:00"/>
        <d v="2023-02-14T00:00:00"/>
        <d v="2023-06-01T00:00:00"/>
        <d v="2023-06-11T00:00:00"/>
        <d v="2023-01-30T00:00:00"/>
        <d v="2023-04-08T00:00:00"/>
        <d v="2023-07-07T00:00:00"/>
        <d v="2023-05-06T00:00:00"/>
        <d v="2023-07-04T00:00:00"/>
        <d v="2023-03-02T00:00:00"/>
        <d v="2023-09-21T00:00:00"/>
        <d v="2023-10-25T00:00:00"/>
        <d v="2023-01-24T00:00:00"/>
        <d v="2023-08-14T00:00:00"/>
        <d v="2023-04-21T00:00:00"/>
        <d v="2023-07-29T00:00:00"/>
        <d v="2023-07-19T00:00:00"/>
        <d v="2023-05-22T00:00:00"/>
        <d v="2023-01-11T00:00:00"/>
        <d v="2023-11-24T00:00:00"/>
        <d v="2023-08-08T00:00:00"/>
        <d v="2023-06-20T00:00:00"/>
        <d v="2023-12-18T00:00:00"/>
        <d v="2023-12-08T00:00:00"/>
        <d v="2023-04-07T00:00:00"/>
        <d v="2023-02-28T00:00:00"/>
        <d v="2023-03-16T00:00:00"/>
        <d v="2023-11-02T00:00:00"/>
        <d v="2023-11-13T00:00:00"/>
        <d v="2023-08-25T00:00:00"/>
        <d v="2023-05-11T00:00:00"/>
        <d v="2023-07-26T00:00:00"/>
        <d v="2023-03-23T00:00:00"/>
        <d v="2023-10-17T00:00:00"/>
        <d v="2023-09-09T00:00:00"/>
        <d v="2023-05-13T00:00:00"/>
        <d v="2023-10-10T00:00:00"/>
        <d v="2023-02-05T00:00:00"/>
        <d v="2023-06-15T00:00:00"/>
        <d v="2023-11-01T00:00:00"/>
        <d v="2023-11-11T00:00:00"/>
        <d v="2023-01-05T00:00:00"/>
        <d v="2023-12-06T00:00:00"/>
        <d v="2023-01-28T00:00:00"/>
        <d v="2023-04-14T00:00:00"/>
        <d v="2023-07-08T00:00:00"/>
        <d v="2023-03-06T00:00:00"/>
        <d v="2023-01-03T00:00:00"/>
        <d v="2023-05-12T00:00:00"/>
        <d v="2023-12-17T00:00:00"/>
        <d v="2023-06-17T00:00:00"/>
        <d v="2023-06-27T00:00:00"/>
        <d v="2023-07-28T00:00:00"/>
        <d v="2023-01-12T00:00:00"/>
        <d v="2023-11-15T00:00:00"/>
        <d v="2023-09-29T00:00:00"/>
        <d v="2023-07-24T00:00:00"/>
        <d v="2023-03-03T00:00:00"/>
        <d v="2023-06-04T00:00:00"/>
        <d v="2023-10-31T00:00:00"/>
        <d v="2023-10-22T00:00:00"/>
        <d v="2023-04-26T00:00:00"/>
        <d v="2023-01-17T00:00:00"/>
        <d v="2023-03-08T00:00:00"/>
        <d v="2023-01-07T00:00:00"/>
        <d v="2023-09-03T00:00:00"/>
        <d v="2023-04-12T00:00:00"/>
        <d v="2023-02-03T00:00:00"/>
        <d v="2023-02-26T00:00:00"/>
        <d v="2023-02-13T00:00:00"/>
        <d v="2023-10-05T00:00:00"/>
        <d v="2023-11-16T00:00:00"/>
        <d v="2023-08-31T00:00:00"/>
        <d v="2023-09-15T00:00:00"/>
        <d v="2023-04-06T00:00:00"/>
        <d v="2023-08-19T00:00:00"/>
        <d v="2023-10-26T00:00:00"/>
        <d v="2023-04-01T00:00:00"/>
        <d v="2023-05-15T00:00:00"/>
        <d v="2023-05-01T00:00:00"/>
        <d v="2023-12-30T00:00:00"/>
        <m/>
      </sharedItems>
      <fieldGroup par="19" base="5">
        <rangePr groupBy="days" startDate="2023-01-01T00:00:00" endDate="2023-12-31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3"/>
        </groupItems>
      </fieldGroup>
    </cacheField>
    <cacheField name=" Patient Id" numFmtId="0">
      <sharedItems containsBlank="1"/>
    </cacheField>
    <cacheField name="Patient Name" numFmtId="0">
      <sharedItems containsBlank="1" count="11">
        <s v="Alex"/>
        <s v="Emily"/>
        <s v="Robert"/>
        <s v="Linda"/>
        <s v="David"/>
        <s v="Michael"/>
        <s v="Jane"/>
        <s v="John"/>
        <s v="Laura"/>
        <s v="Sarah"/>
        <m/>
      </sharedItems>
    </cacheField>
    <cacheField name="second " numFmtId="0">
      <sharedItems containsBlank="1" count="11">
        <s v="Smith"/>
        <s v="Moore"/>
        <s v="Miller"/>
        <s v="Wilson"/>
        <s v="Williams"/>
        <s v="Taylor"/>
        <s v="Brown"/>
        <s v="Jones"/>
        <s v="Davis"/>
        <s v="Johnson"/>
        <m/>
      </sharedItems>
    </cacheField>
    <cacheField name="Gender " numFmtId="0">
      <sharedItems containsBlank="1" count="3">
        <s v="F"/>
        <s v="M"/>
        <m/>
      </sharedItems>
    </cacheField>
    <cacheField name="Insuarance" numFmtId="0">
      <sharedItems containsBlank="1" count="5">
        <s v="WellnessCorp"/>
        <s v="MedCare Plus"/>
        <s v="PulseSecure"/>
        <s v="HealthIndia"/>
        <m/>
      </sharedItems>
    </cacheField>
    <cacheField name="Appointment id" numFmtId="0">
      <sharedItems containsBlank="1"/>
    </cacheField>
    <cacheField name="reason for visit" numFmtId="0">
      <sharedItems containsBlank="1" count="6">
        <s v="Therapy"/>
        <s v="Consultation"/>
        <s v="Emergency"/>
        <s v="Checkup"/>
        <s v="Follow-up"/>
        <m/>
      </sharedItems>
    </cacheField>
    <cacheField name="Doctor Name" numFmtId="0">
      <sharedItems containsBlank="1" count="7">
        <s v="Sarah"/>
        <s v="David"/>
        <s v="Alex"/>
        <s v="Jane"/>
        <s v="Robert"/>
        <s v="Linda"/>
        <m/>
      </sharedItems>
    </cacheField>
    <cacheField name="second" numFmtId="0">
      <sharedItems containsBlank="1" count="7">
        <s v="Smith"/>
        <s v="Jones"/>
        <s v="Davis"/>
        <s v="Wilson"/>
        <s v="Brown"/>
        <s v="Taylor"/>
        <m/>
      </sharedItems>
    </cacheField>
    <cacheField name="Doctor Id" numFmtId="0">
      <sharedItems count="11">
        <s v="D009"/>
        <s v="D004"/>
        <s v="D006"/>
        <s v="D003"/>
        <s v="D007"/>
        <s v="D010"/>
        <s v="D002"/>
        <s v="D008"/>
        <s v="D001"/>
        <s v="D005"/>
        <s v=" "/>
      </sharedItems>
    </cacheField>
    <cacheField name="specialization" numFmtId="0">
      <sharedItems containsBlank="1" count="4">
        <s v="Pediatrics"/>
        <s v="Oncology"/>
        <s v="Dermatology"/>
        <m/>
      </sharedItems>
    </cacheField>
    <cacheField name="status" numFmtId="0">
      <sharedItems containsBlank="1" count="5">
        <s v="Scheduled"/>
        <s v="No-show"/>
        <s v="Cancelled"/>
        <s v="Completed"/>
        <m/>
      </sharedItems>
    </cacheField>
    <cacheField name="Appointment date" numFmtId="0">
      <sharedItems containsNonDate="0" containsDate="1" containsString="0" containsBlank="1" minDate="2023-01-01T00:00:00" maxDate="2023-12-21T00:00:00"/>
    </cacheField>
    <cacheField name="Months" numFmtId="0" databaseField="0">
      <fieldGroup base="5">
        <rangePr groupBy="months" startDate="2023-01-01T00:00:00" endDate="2023-12-31T00:00:00"/>
        <groupItems count="14">
          <s v="&lt;1/1/2023"/>
          <s v="Jan"/>
          <s v="Feb"/>
          <s v="Mar"/>
          <s v="Apr"/>
          <s v="May"/>
          <s v="Jun"/>
          <s v="Jul"/>
          <s v="Aug"/>
          <s v="Sep"/>
          <s v="Oct"/>
          <s v="Nov"/>
          <s v="Dec"/>
          <s v="&gt;12/31/2023"/>
        </groupItems>
      </fieldGroup>
    </cacheField>
  </cacheFields>
  <extLst>
    <ext xmlns:x14="http://schemas.microsoft.com/office/spreadsheetml/2009/9/main" uri="{725AE2AE-9491-48be-B2B4-4EB974FC3084}">
      <x14:pivotCacheDefinition pivotCacheId="9294262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s v="T001"/>
    <s v="A001"/>
    <x v="0"/>
    <x v="0"/>
    <n v="3941.97"/>
    <x v="0"/>
    <s v="P034"/>
    <x v="0"/>
    <x v="0"/>
    <x v="0"/>
    <x v="0"/>
    <s v="A001"/>
    <x v="0"/>
    <x v="0"/>
    <x v="0"/>
    <x v="0"/>
    <x v="0"/>
    <x v="0"/>
    <d v="2023-08-09T00:00:00"/>
  </r>
  <r>
    <s v="T002"/>
    <s v="A002"/>
    <x v="1"/>
    <x v="1"/>
    <n v="4158.4399999999996"/>
    <x v="1"/>
    <s v="P032"/>
    <x v="0"/>
    <x v="1"/>
    <x v="1"/>
    <x v="1"/>
    <s v="A002"/>
    <x v="0"/>
    <x v="1"/>
    <x v="1"/>
    <x v="1"/>
    <x v="0"/>
    <x v="1"/>
    <d v="2023-06-09T00:00:00"/>
  </r>
  <r>
    <s v="T003"/>
    <s v="A003"/>
    <x v="1"/>
    <x v="2"/>
    <n v="3731.55"/>
    <x v="2"/>
    <s v="P048"/>
    <x v="1"/>
    <x v="2"/>
    <x v="1"/>
    <x v="2"/>
    <s v="A003"/>
    <x v="1"/>
    <x v="1"/>
    <x v="1"/>
    <x v="1"/>
    <x v="0"/>
    <x v="2"/>
    <d v="2023-06-28T00:00:00"/>
  </r>
  <r>
    <s v="T004"/>
    <s v="A004"/>
    <x v="1"/>
    <x v="0"/>
    <n v="4799.8599999999997"/>
    <x v="3"/>
    <s v="P025"/>
    <x v="2"/>
    <x v="3"/>
    <x v="1"/>
    <x v="3"/>
    <s v="A004"/>
    <x v="1"/>
    <x v="2"/>
    <x v="2"/>
    <x v="2"/>
    <x v="0"/>
    <x v="2"/>
    <d v="2023-09-01T00:00:00"/>
  </r>
  <r>
    <s v="T005"/>
    <s v="A005"/>
    <x v="2"/>
    <x v="2"/>
    <n v="582.04999999999995"/>
    <x v="4"/>
    <s v="P040"/>
    <x v="1"/>
    <x v="4"/>
    <x v="1"/>
    <x v="2"/>
    <s v="A005"/>
    <x v="2"/>
    <x v="3"/>
    <x v="0"/>
    <x v="3"/>
    <x v="0"/>
    <x v="1"/>
    <d v="2023-07-06T00:00:00"/>
  </r>
  <r>
    <s v="T006"/>
    <s v="A006"/>
    <x v="0"/>
    <x v="2"/>
    <n v="1381"/>
    <x v="5"/>
    <s v="P045"/>
    <x v="3"/>
    <x v="2"/>
    <x v="0"/>
    <x v="1"/>
    <s v="A006"/>
    <x v="3"/>
    <x v="2"/>
    <x v="2"/>
    <x v="2"/>
    <x v="0"/>
    <x v="0"/>
    <d v="2023-06-19T00:00:00"/>
  </r>
  <r>
    <s v="T007"/>
    <s v="A007"/>
    <x v="0"/>
    <x v="1"/>
    <n v="534.03"/>
    <x v="6"/>
    <s v="P001"/>
    <x v="4"/>
    <x v="4"/>
    <x v="0"/>
    <x v="0"/>
    <s v="A007"/>
    <x v="1"/>
    <x v="4"/>
    <x v="2"/>
    <x v="4"/>
    <x v="1"/>
    <x v="0"/>
    <d v="2023-04-09T00:00:00"/>
  </r>
  <r>
    <s v="T008"/>
    <s v="A008"/>
    <x v="3"/>
    <x v="0"/>
    <n v="3413.64"/>
    <x v="7"/>
    <s v="P016"/>
    <x v="5"/>
    <x v="5"/>
    <x v="1"/>
    <x v="2"/>
    <s v="A008"/>
    <x v="1"/>
    <x v="5"/>
    <x v="3"/>
    <x v="5"/>
    <x v="1"/>
    <x v="2"/>
    <d v="2023-05-24T00:00:00"/>
  </r>
  <r>
    <s v="T009"/>
    <s v="A009"/>
    <x v="3"/>
    <x v="2"/>
    <n v="4541.1400000000003"/>
    <x v="8"/>
    <s v="P039"/>
    <x v="6"/>
    <x v="3"/>
    <x v="0"/>
    <x v="2"/>
    <s v="A009"/>
    <x v="4"/>
    <x v="5"/>
    <x v="3"/>
    <x v="5"/>
    <x v="1"/>
    <x v="0"/>
    <d v="2023-03-05T00:00:00"/>
  </r>
  <r>
    <s v="T010"/>
    <s v="A010"/>
    <x v="3"/>
    <x v="2"/>
    <n v="1595.67"/>
    <x v="9"/>
    <s v="P005"/>
    <x v="4"/>
    <x v="3"/>
    <x v="1"/>
    <x v="1"/>
    <s v="A010"/>
    <x v="0"/>
    <x v="3"/>
    <x v="0"/>
    <x v="3"/>
    <x v="0"/>
    <x v="3"/>
    <d v="2023-01-13T00:00:00"/>
  </r>
  <r>
    <s v="T011"/>
    <s v="A011"/>
    <x v="1"/>
    <x v="0"/>
    <n v="4671.66"/>
    <x v="10"/>
    <s v="P022"/>
    <x v="7"/>
    <x v="6"/>
    <x v="1"/>
    <x v="1"/>
    <s v="A011"/>
    <x v="3"/>
    <x v="4"/>
    <x v="2"/>
    <x v="4"/>
    <x v="1"/>
    <x v="1"/>
    <d v="2023-11-12T00:00:00"/>
  </r>
  <r>
    <s v="T012"/>
    <s v="A012"/>
    <x v="0"/>
    <x v="2"/>
    <n v="771.2"/>
    <x v="11"/>
    <s v="P029"/>
    <x v="4"/>
    <x v="0"/>
    <x v="1"/>
    <x v="3"/>
    <s v="A012"/>
    <x v="4"/>
    <x v="3"/>
    <x v="0"/>
    <x v="3"/>
    <x v="0"/>
    <x v="3"/>
    <d v="2023-05-07T00:00:00"/>
  </r>
  <r>
    <s v="T013"/>
    <s v="A013"/>
    <x v="1"/>
    <x v="2"/>
    <n v="4704.96"/>
    <x v="12"/>
    <s v="P003"/>
    <x v="8"/>
    <x v="7"/>
    <x v="1"/>
    <x v="2"/>
    <s v="A013"/>
    <x v="2"/>
    <x v="3"/>
    <x v="2"/>
    <x v="6"/>
    <x v="0"/>
    <x v="0"/>
    <d v="2023-08-16T00:00:00"/>
  </r>
  <r>
    <s v="T014"/>
    <s v="A014"/>
    <x v="2"/>
    <x v="0"/>
    <n v="2082.3000000000002"/>
    <x v="13"/>
    <s v="P012"/>
    <x v="8"/>
    <x v="8"/>
    <x v="0"/>
    <x v="1"/>
    <s v="A014"/>
    <x v="2"/>
    <x v="5"/>
    <x v="3"/>
    <x v="5"/>
    <x v="1"/>
    <x v="2"/>
    <d v="2023-05-25T00:00:00"/>
  </r>
  <r>
    <s v="T015"/>
    <s v="A015"/>
    <x v="3"/>
    <x v="0"/>
    <n v="956.39"/>
    <x v="14"/>
    <s v="P026"/>
    <x v="7"/>
    <x v="5"/>
    <x v="1"/>
    <x v="1"/>
    <s v="A015"/>
    <x v="1"/>
    <x v="1"/>
    <x v="1"/>
    <x v="1"/>
    <x v="0"/>
    <x v="1"/>
    <d v="2023-01-15T00:00:00"/>
  </r>
  <r>
    <s v="T016"/>
    <s v="A016"/>
    <x v="1"/>
    <x v="0"/>
    <n v="2686.42"/>
    <x v="15"/>
    <s v="P016"/>
    <x v="5"/>
    <x v="5"/>
    <x v="1"/>
    <x v="2"/>
    <s v="A008"/>
    <x v="1"/>
    <x v="5"/>
    <x v="3"/>
    <x v="5"/>
    <x v="1"/>
    <x v="2"/>
    <d v="2023-05-24T00:00:00"/>
  </r>
  <r>
    <s v="T017"/>
    <s v="A017"/>
    <x v="1"/>
    <x v="0"/>
    <n v="1655.49"/>
    <x v="16"/>
    <s v="P037"/>
    <x v="2"/>
    <x v="4"/>
    <x v="1"/>
    <x v="3"/>
    <s v="A017"/>
    <x v="2"/>
    <x v="0"/>
    <x v="0"/>
    <x v="0"/>
    <x v="0"/>
    <x v="0"/>
    <d v="2023-07-11T00:00:00"/>
  </r>
  <r>
    <s v="T018"/>
    <s v="A018"/>
    <x v="2"/>
    <x v="1"/>
    <n v="1781.93"/>
    <x v="17"/>
    <s v="P022"/>
    <x v="7"/>
    <x v="6"/>
    <x v="1"/>
    <x v="1"/>
    <s v="A011"/>
    <x v="3"/>
    <x v="4"/>
    <x v="2"/>
    <x v="4"/>
    <x v="1"/>
    <x v="1"/>
    <d v="2023-11-12T00:00:00"/>
  </r>
  <r>
    <s v="T019"/>
    <s v="A019"/>
    <x v="4"/>
    <x v="0"/>
    <n v="1882.8"/>
    <x v="18"/>
    <s v="P029"/>
    <x v="4"/>
    <x v="0"/>
    <x v="1"/>
    <x v="3"/>
    <s v="A012"/>
    <x v="4"/>
    <x v="3"/>
    <x v="0"/>
    <x v="3"/>
    <x v="0"/>
    <x v="3"/>
    <d v="2023-05-07T00:00:00"/>
  </r>
  <r>
    <s v="T020"/>
    <s v="A020"/>
    <x v="0"/>
    <x v="1"/>
    <n v="4113.62"/>
    <x v="19"/>
    <s v="P014"/>
    <x v="0"/>
    <x v="5"/>
    <x v="1"/>
    <x v="1"/>
    <s v="A020"/>
    <x v="1"/>
    <x v="3"/>
    <x v="0"/>
    <x v="3"/>
    <x v="0"/>
    <x v="3"/>
    <d v="2023-12-05T00:00:00"/>
  </r>
  <r>
    <s v="T021"/>
    <s v="A021"/>
    <x v="4"/>
    <x v="1"/>
    <n v="2926.23"/>
    <x v="20"/>
    <s v="P028"/>
    <x v="0"/>
    <x v="1"/>
    <x v="1"/>
    <x v="1"/>
    <s v="A021"/>
    <x v="0"/>
    <x v="0"/>
    <x v="0"/>
    <x v="0"/>
    <x v="0"/>
    <x v="1"/>
    <d v="2023-04-24T00:00:00"/>
  </r>
  <r>
    <s v="T022"/>
    <s v="A022"/>
    <x v="3"/>
    <x v="1"/>
    <n v="1900.88"/>
    <x v="17"/>
    <s v="P005"/>
    <x v="4"/>
    <x v="3"/>
    <x v="1"/>
    <x v="1"/>
    <s v="A010"/>
    <x v="0"/>
    <x v="3"/>
    <x v="0"/>
    <x v="3"/>
    <x v="0"/>
    <x v="3"/>
    <d v="2023-01-13T00:00:00"/>
  </r>
  <r>
    <s v="T023"/>
    <s v="A023"/>
    <x v="1"/>
    <x v="2"/>
    <n v="3246.5"/>
    <x v="21"/>
    <s v="P047"/>
    <x v="6"/>
    <x v="1"/>
    <x v="1"/>
    <x v="0"/>
    <s v="A023"/>
    <x v="4"/>
    <x v="0"/>
    <x v="0"/>
    <x v="0"/>
    <x v="0"/>
    <x v="2"/>
    <d v="2023-05-09T00:00:00"/>
  </r>
  <r>
    <s v="T024"/>
    <s v="A024"/>
    <x v="2"/>
    <x v="1"/>
    <n v="3722.68"/>
    <x v="22"/>
    <s v="P049"/>
    <x v="4"/>
    <x v="1"/>
    <x v="1"/>
    <x v="1"/>
    <s v="A024"/>
    <x v="3"/>
    <x v="5"/>
    <x v="4"/>
    <x v="7"/>
    <x v="2"/>
    <x v="3"/>
    <d v="2023-06-21T00:00:00"/>
  </r>
  <r>
    <s v="T025"/>
    <s v="A025"/>
    <x v="2"/>
    <x v="1"/>
    <n v="1726.81"/>
    <x v="23"/>
    <s v="P030"/>
    <x v="1"/>
    <x v="1"/>
    <x v="1"/>
    <x v="2"/>
    <s v="A025"/>
    <x v="4"/>
    <x v="1"/>
    <x v="5"/>
    <x v="8"/>
    <x v="2"/>
    <x v="1"/>
    <d v="2023-02-25T00:00:00"/>
  </r>
  <r>
    <s v="T026"/>
    <s v="A026"/>
    <x v="0"/>
    <x v="2"/>
    <n v="2360.9699999999998"/>
    <x v="24"/>
    <s v="P046"/>
    <x v="5"/>
    <x v="5"/>
    <x v="0"/>
    <x v="1"/>
    <s v="A026"/>
    <x v="4"/>
    <x v="2"/>
    <x v="2"/>
    <x v="2"/>
    <x v="0"/>
    <x v="2"/>
    <d v="2023-03-17T00:00:00"/>
  </r>
  <r>
    <s v="T027"/>
    <s v="A027"/>
    <x v="4"/>
    <x v="2"/>
    <n v="1048.49"/>
    <x v="17"/>
    <s v="P005"/>
    <x v="4"/>
    <x v="3"/>
    <x v="1"/>
    <x v="1"/>
    <s v="A010"/>
    <x v="0"/>
    <x v="3"/>
    <x v="0"/>
    <x v="3"/>
    <x v="0"/>
    <x v="3"/>
    <d v="2023-01-13T00:00:00"/>
  </r>
  <r>
    <s v="T028"/>
    <s v="A028"/>
    <x v="0"/>
    <x v="2"/>
    <n v="1315.17"/>
    <x v="25"/>
    <s v="P012"/>
    <x v="8"/>
    <x v="8"/>
    <x v="0"/>
    <x v="1"/>
    <s v="A014"/>
    <x v="2"/>
    <x v="5"/>
    <x v="3"/>
    <x v="5"/>
    <x v="1"/>
    <x v="2"/>
    <d v="2023-05-25T00:00:00"/>
  </r>
  <r>
    <s v="T029"/>
    <s v="A029"/>
    <x v="1"/>
    <x v="0"/>
    <n v="3565.03"/>
    <x v="26"/>
    <s v="P016"/>
    <x v="5"/>
    <x v="5"/>
    <x v="1"/>
    <x v="2"/>
    <s v="A008"/>
    <x v="1"/>
    <x v="5"/>
    <x v="3"/>
    <x v="5"/>
    <x v="1"/>
    <x v="2"/>
    <d v="2023-05-24T00:00:00"/>
  </r>
  <r>
    <s v="T030"/>
    <s v="A030"/>
    <x v="0"/>
    <x v="2"/>
    <n v="1316.47"/>
    <x v="27"/>
    <s v="P026"/>
    <x v="7"/>
    <x v="5"/>
    <x v="1"/>
    <x v="1"/>
    <s v="A015"/>
    <x v="1"/>
    <x v="1"/>
    <x v="1"/>
    <x v="1"/>
    <x v="0"/>
    <x v="1"/>
    <d v="2023-01-15T00:00:00"/>
  </r>
  <r>
    <s v="T031"/>
    <s v="A031"/>
    <x v="2"/>
    <x v="2"/>
    <n v="2863.24"/>
    <x v="28"/>
    <s v="P026"/>
    <x v="7"/>
    <x v="5"/>
    <x v="1"/>
    <x v="1"/>
    <s v="A015"/>
    <x v="1"/>
    <x v="1"/>
    <x v="1"/>
    <x v="1"/>
    <x v="0"/>
    <x v="1"/>
    <d v="2023-01-15T00:00:00"/>
  </r>
  <r>
    <s v="T032"/>
    <s v="A032"/>
    <x v="2"/>
    <x v="1"/>
    <n v="3690.71"/>
    <x v="29"/>
    <s v="P048"/>
    <x v="1"/>
    <x v="2"/>
    <x v="1"/>
    <x v="2"/>
    <s v="A003"/>
    <x v="1"/>
    <x v="1"/>
    <x v="1"/>
    <x v="1"/>
    <x v="0"/>
    <x v="2"/>
    <d v="2023-06-28T00:00:00"/>
  </r>
  <r>
    <s v="T033"/>
    <s v="A033"/>
    <x v="3"/>
    <x v="2"/>
    <n v="980.95"/>
    <x v="30"/>
    <s v="P021"/>
    <x v="5"/>
    <x v="3"/>
    <x v="1"/>
    <x v="0"/>
    <s v="A033"/>
    <x v="0"/>
    <x v="0"/>
    <x v="5"/>
    <x v="9"/>
    <x v="2"/>
    <x v="1"/>
    <d v="2023-09-23T00:00:00"/>
  </r>
  <r>
    <s v="T034"/>
    <s v="A034"/>
    <x v="3"/>
    <x v="0"/>
    <n v="3052.9"/>
    <x v="31"/>
    <s v="P039"/>
    <x v="6"/>
    <x v="3"/>
    <x v="0"/>
    <x v="2"/>
    <s v="A009"/>
    <x v="4"/>
    <x v="5"/>
    <x v="3"/>
    <x v="5"/>
    <x v="1"/>
    <x v="0"/>
    <d v="2023-03-05T00:00:00"/>
  </r>
  <r>
    <s v="T035"/>
    <s v="A035"/>
    <x v="1"/>
    <x v="2"/>
    <n v="1654.53"/>
    <x v="32"/>
    <s v="P036"/>
    <x v="5"/>
    <x v="3"/>
    <x v="1"/>
    <x v="1"/>
    <s v="A035"/>
    <x v="4"/>
    <x v="3"/>
    <x v="0"/>
    <x v="3"/>
    <x v="0"/>
    <x v="0"/>
    <d v="2023-04-18T00:00:00"/>
  </r>
  <r>
    <s v="T036"/>
    <s v="A036"/>
    <x v="4"/>
    <x v="0"/>
    <n v="4833.17"/>
    <x v="33"/>
    <s v="P033"/>
    <x v="5"/>
    <x v="3"/>
    <x v="0"/>
    <x v="1"/>
    <s v="A036"/>
    <x v="3"/>
    <x v="3"/>
    <x v="0"/>
    <x v="3"/>
    <x v="0"/>
    <x v="1"/>
    <d v="2023-01-08T00:00:00"/>
  </r>
  <r>
    <s v="T037"/>
    <s v="A037"/>
    <x v="0"/>
    <x v="2"/>
    <n v="2675.96"/>
    <x v="34"/>
    <s v="P030"/>
    <x v="1"/>
    <x v="1"/>
    <x v="1"/>
    <x v="2"/>
    <s v="A025"/>
    <x v="4"/>
    <x v="1"/>
    <x v="5"/>
    <x v="8"/>
    <x v="2"/>
    <x v="1"/>
    <d v="2023-02-25T00:00:00"/>
  </r>
  <r>
    <s v="T038"/>
    <s v="A038"/>
    <x v="1"/>
    <x v="2"/>
    <n v="4126.97"/>
    <x v="35"/>
    <s v="P037"/>
    <x v="2"/>
    <x v="4"/>
    <x v="1"/>
    <x v="3"/>
    <s v="A017"/>
    <x v="2"/>
    <x v="0"/>
    <x v="0"/>
    <x v="0"/>
    <x v="0"/>
    <x v="0"/>
    <d v="2023-07-11T00:00:00"/>
  </r>
  <r>
    <s v="T039"/>
    <s v="A039"/>
    <x v="3"/>
    <x v="2"/>
    <n v="2976.02"/>
    <x v="36"/>
    <s v="P023"/>
    <x v="3"/>
    <x v="9"/>
    <x v="1"/>
    <x v="0"/>
    <s v="A039"/>
    <x v="4"/>
    <x v="3"/>
    <x v="2"/>
    <x v="6"/>
    <x v="0"/>
    <x v="0"/>
    <d v="2023-04-17T00:00:00"/>
  </r>
  <r>
    <s v="T040"/>
    <s v="A040"/>
    <x v="0"/>
    <x v="2"/>
    <n v="695.36"/>
    <x v="37"/>
    <s v="P010"/>
    <x v="5"/>
    <x v="5"/>
    <x v="1"/>
    <x v="0"/>
    <s v="A040"/>
    <x v="0"/>
    <x v="0"/>
    <x v="0"/>
    <x v="0"/>
    <x v="0"/>
    <x v="3"/>
    <d v="2023-03-27T00:00:00"/>
  </r>
  <r>
    <s v="T041"/>
    <s v="A041"/>
    <x v="3"/>
    <x v="0"/>
    <n v="3349.18"/>
    <x v="38"/>
    <s v="P005"/>
    <x v="4"/>
    <x v="3"/>
    <x v="1"/>
    <x v="1"/>
    <s v="A010"/>
    <x v="0"/>
    <x v="3"/>
    <x v="0"/>
    <x v="3"/>
    <x v="0"/>
    <x v="3"/>
    <d v="2023-01-13T00:00:00"/>
  </r>
  <r>
    <s v="T042"/>
    <s v="A042"/>
    <x v="0"/>
    <x v="0"/>
    <n v="4781.32"/>
    <x v="39"/>
    <s v="P036"/>
    <x v="5"/>
    <x v="3"/>
    <x v="1"/>
    <x v="1"/>
    <s v="A035"/>
    <x v="4"/>
    <x v="3"/>
    <x v="0"/>
    <x v="3"/>
    <x v="0"/>
    <x v="0"/>
    <d v="2023-04-18T00:00:00"/>
  </r>
  <r>
    <s v="T043"/>
    <s v="A043"/>
    <x v="4"/>
    <x v="1"/>
    <n v="3207.25"/>
    <x v="40"/>
    <s v="P034"/>
    <x v="0"/>
    <x v="0"/>
    <x v="0"/>
    <x v="0"/>
    <s v="A001"/>
    <x v="0"/>
    <x v="0"/>
    <x v="0"/>
    <x v="0"/>
    <x v="0"/>
    <x v="0"/>
    <d v="2023-08-09T00:00:00"/>
  </r>
  <r>
    <s v="T044"/>
    <s v="A044"/>
    <x v="1"/>
    <x v="0"/>
    <n v="4186.3500000000004"/>
    <x v="41"/>
    <s v="P031"/>
    <x v="2"/>
    <x v="2"/>
    <x v="1"/>
    <x v="0"/>
    <s v="A044"/>
    <x v="4"/>
    <x v="2"/>
    <x v="2"/>
    <x v="2"/>
    <x v="0"/>
    <x v="3"/>
    <d v="2023-09-20T00:00:00"/>
  </r>
  <r>
    <s v="T045"/>
    <s v="A045"/>
    <x v="0"/>
    <x v="2"/>
    <n v="4478.93"/>
    <x v="42"/>
    <s v="P010"/>
    <x v="5"/>
    <x v="5"/>
    <x v="1"/>
    <x v="0"/>
    <s v="A040"/>
    <x v="0"/>
    <x v="0"/>
    <x v="0"/>
    <x v="0"/>
    <x v="0"/>
    <x v="3"/>
    <d v="2023-03-27T00:00:00"/>
  </r>
  <r>
    <s v="T046"/>
    <s v="A046"/>
    <x v="2"/>
    <x v="1"/>
    <n v="1526.36"/>
    <x v="43"/>
    <s v="P019"/>
    <x v="9"/>
    <x v="2"/>
    <x v="1"/>
    <x v="0"/>
    <s v="A046"/>
    <x v="1"/>
    <x v="3"/>
    <x v="0"/>
    <x v="3"/>
    <x v="0"/>
    <x v="2"/>
    <d v="2023-12-20T00:00:00"/>
  </r>
  <r>
    <s v="T047"/>
    <s v="A047"/>
    <x v="2"/>
    <x v="1"/>
    <n v="1454.2"/>
    <x v="44"/>
    <s v="P032"/>
    <x v="0"/>
    <x v="1"/>
    <x v="1"/>
    <x v="1"/>
    <s v="A002"/>
    <x v="0"/>
    <x v="1"/>
    <x v="1"/>
    <x v="1"/>
    <x v="0"/>
    <x v="1"/>
    <d v="2023-06-09T00:00:00"/>
  </r>
  <r>
    <s v="T048"/>
    <s v="A048"/>
    <x v="0"/>
    <x v="1"/>
    <n v="3249.41"/>
    <x v="45"/>
    <s v="P001"/>
    <x v="4"/>
    <x v="4"/>
    <x v="0"/>
    <x v="0"/>
    <s v="A007"/>
    <x v="1"/>
    <x v="4"/>
    <x v="2"/>
    <x v="4"/>
    <x v="1"/>
    <x v="0"/>
    <d v="2023-04-09T00:00:00"/>
  </r>
  <r>
    <s v="T049"/>
    <s v="A049"/>
    <x v="0"/>
    <x v="2"/>
    <n v="2349.63"/>
    <x v="46"/>
    <s v="P005"/>
    <x v="4"/>
    <x v="3"/>
    <x v="1"/>
    <x v="1"/>
    <s v="A010"/>
    <x v="0"/>
    <x v="3"/>
    <x v="0"/>
    <x v="3"/>
    <x v="0"/>
    <x v="3"/>
    <d v="2023-01-13T00:00:00"/>
  </r>
  <r>
    <s v="T050"/>
    <s v="A050"/>
    <x v="0"/>
    <x v="0"/>
    <n v="4279.38"/>
    <x v="12"/>
    <s v="P045"/>
    <x v="3"/>
    <x v="2"/>
    <x v="0"/>
    <x v="1"/>
    <s v="A006"/>
    <x v="3"/>
    <x v="2"/>
    <x v="2"/>
    <x v="2"/>
    <x v="0"/>
    <x v="0"/>
    <d v="2023-06-19T00:00:00"/>
  </r>
  <r>
    <s v="T051"/>
    <s v="A051"/>
    <x v="2"/>
    <x v="2"/>
    <n v="4550.1000000000004"/>
    <x v="47"/>
    <s v="P004"/>
    <x v="5"/>
    <x v="9"/>
    <x v="0"/>
    <x v="3"/>
    <s v="A051"/>
    <x v="3"/>
    <x v="2"/>
    <x v="2"/>
    <x v="2"/>
    <x v="0"/>
    <x v="3"/>
    <d v="2023-02-04T00:00:00"/>
  </r>
  <r>
    <s v="T052"/>
    <s v="A052"/>
    <x v="2"/>
    <x v="1"/>
    <n v="2090.4"/>
    <x v="48"/>
    <s v="P016"/>
    <x v="5"/>
    <x v="5"/>
    <x v="1"/>
    <x v="2"/>
    <s v="A008"/>
    <x v="1"/>
    <x v="5"/>
    <x v="3"/>
    <x v="5"/>
    <x v="1"/>
    <x v="2"/>
    <d v="2023-05-24T00:00:00"/>
  </r>
  <r>
    <s v="T053"/>
    <s v="A053"/>
    <x v="0"/>
    <x v="2"/>
    <n v="1565.92"/>
    <x v="49"/>
    <s v="P024"/>
    <x v="9"/>
    <x v="6"/>
    <x v="0"/>
    <x v="0"/>
    <s v="A053"/>
    <x v="3"/>
    <x v="0"/>
    <x v="5"/>
    <x v="9"/>
    <x v="2"/>
    <x v="2"/>
    <d v="2023-02-12T00:00:00"/>
  </r>
  <r>
    <s v="T054"/>
    <s v="A054"/>
    <x v="3"/>
    <x v="2"/>
    <n v="4012.36"/>
    <x v="50"/>
    <s v="P016"/>
    <x v="5"/>
    <x v="5"/>
    <x v="1"/>
    <x v="2"/>
    <s v="A008"/>
    <x v="1"/>
    <x v="5"/>
    <x v="3"/>
    <x v="5"/>
    <x v="1"/>
    <x v="2"/>
    <d v="2023-05-24T00:00:00"/>
  </r>
  <r>
    <s v="T055"/>
    <s v="A055"/>
    <x v="3"/>
    <x v="0"/>
    <n v="1736.63"/>
    <x v="51"/>
    <s v="P002"/>
    <x v="1"/>
    <x v="0"/>
    <x v="0"/>
    <x v="2"/>
    <s v="A055"/>
    <x v="3"/>
    <x v="5"/>
    <x v="3"/>
    <x v="5"/>
    <x v="1"/>
    <x v="0"/>
    <d v="2023-10-06T00:00:00"/>
  </r>
  <r>
    <s v="T056"/>
    <s v="A056"/>
    <x v="4"/>
    <x v="0"/>
    <n v="4201.76"/>
    <x v="52"/>
    <s v="P049"/>
    <x v="4"/>
    <x v="1"/>
    <x v="1"/>
    <x v="1"/>
    <s v="A024"/>
    <x v="3"/>
    <x v="5"/>
    <x v="4"/>
    <x v="7"/>
    <x v="2"/>
    <x v="3"/>
    <d v="2023-06-21T00:00:00"/>
  </r>
  <r>
    <s v="T057"/>
    <s v="A057"/>
    <x v="1"/>
    <x v="1"/>
    <n v="2406.8200000000002"/>
    <x v="53"/>
    <s v="P028"/>
    <x v="0"/>
    <x v="1"/>
    <x v="1"/>
    <x v="1"/>
    <s v="A021"/>
    <x v="0"/>
    <x v="0"/>
    <x v="0"/>
    <x v="0"/>
    <x v="0"/>
    <x v="1"/>
    <d v="2023-04-24T00:00:00"/>
  </r>
  <r>
    <s v="T058"/>
    <s v="A058"/>
    <x v="3"/>
    <x v="2"/>
    <n v="3503.97"/>
    <x v="21"/>
    <s v="P032"/>
    <x v="0"/>
    <x v="1"/>
    <x v="1"/>
    <x v="1"/>
    <s v="A002"/>
    <x v="0"/>
    <x v="1"/>
    <x v="1"/>
    <x v="1"/>
    <x v="0"/>
    <x v="1"/>
    <d v="2023-06-09T00:00:00"/>
  </r>
  <r>
    <s v="T059"/>
    <s v="A059"/>
    <x v="2"/>
    <x v="2"/>
    <n v="929.91"/>
    <x v="54"/>
    <s v="P027"/>
    <x v="3"/>
    <x v="1"/>
    <x v="0"/>
    <x v="3"/>
    <s v="A059"/>
    <x v="0"/>
    <x v="5"/>
    <x v="3"/>
    <x v="5"/>
    <x v="1"/>
    <x v="2"/>
    <d v="2023-03-09T00:00:00"/>
  </r>
  <r>
    <s v="T060"/>
    <s v="A060"/>
    <x v="3"/>
    <x v="0"/>
    <n v="3307.37"/>
    <x v="55"/>
    <s v="P020"/>
    <x v="6"/>
    <x v="1"/>
    <x v="0"/>
    <x v="1"/>
    <s v="A060"/>
    <x v="3"/>
    <x v="3"/>
    <x v="2"/>
    <x v="6"/>
    <x v="0"/>
    <x v="1"/>
    <d v="2023-11-22T00:00:00"/>
  </r>
  <r>
    <s v="T061"/>
    <s v="A061"/>
    <x v="4"/>
    <x v="2"/>
    <n v="2532.9499999999998"/>
    <x v="14"/>
    <s v="P024"/>
    <x v="9"/>
    <x v="6"/>
    <x v="0"/>
    <x v="0"/>
    <s v="A053"/>
    <x v="3"/>
    <x v="0"/>
    <x v="5"/>
    <x v="9"/>
    <x v="2"/>
    <x v="2"/>
    <d v="2023-02-12T00:00:00"/>
  </r>
  <r>
    <s v="T062"/>
    <s v="A062"/>
    <x v="4"/>
    <x v="2"/>
    <n v="3139.74"/>
    <x v="56"/>
    <s v="P012"/>
    <x v="8"/>
    <x v="8"/>
    <x v="0"/>
    <x v="1"/>
    <s v="A014"/>
    <x v="2"/>
    <x v="5"/>
    <x v="3"/>
    <x v="5"/>
    <x v="1"/>
    <x v="2"/>
    <d v="2023-05-25T00:00:00"/>
  </r>
  <r>
    <s v="T063"/>
    <s v="A063"/>
    <x v="1"/>
    <x v="2"/>
    <n v="1256.06"/>
    <x v="57"/>
    <s v="P050"/>
    <x v="8"/>
    <x v="3"/>
    <x v="1"/>
    <x v="0"/>
    <s v="A063"/>
    <x v="4"/>
    <x v="1"/>
    <x v="1"/>
    <x v="1"/>
    <x v="0"/>
    <x v="0"/>
    <d v="2023-06-29T00:00:00"/>
  </r>
  <r>
    <s v="T064"/>
    <s v="A064"/>
    <x v="3"/>
    <x v="0"/>
    <n v="3815.93"/>
    <x v="58"/>
    <s v="P035"/>
    <x v="4"/>
    <x v="3"/>
    <x v="0"/>
    <x v="1"/>
    <s v="A064"/>
    <x v="3"/>
    <x v="2"/>
    <x v="2"/>
    <x v="2"/>
    <x v="0"/>
    <x v="2"/>
    <d v="2023-05-31T00:00:00"/>
  </r>
  <r>
    <s v="T065"/>
    <s v="A065"/>
    <x v="2"/>
    <x v="1"/>
    <n v="4382.59"/>
    <x v="20"/>
    <s v="P033"/>
    <x v="5"/>
    <x v="3"/>
    <x v="0"/>
    <x v="1"/>
    <s v="A036"/>
    <x v="3"/>
    <x v="3"/>
    <x v="0"/>
    <x v="3"/>
    <x v="0"/>
    <x v="1"/>
    <d v="2023-01-08T00:00:00"/>
  </r>
  <r>
    <s v="T066"/>
    <s v="A066"/>
    <x v="2"/>
    <x v="1"/>
    <n v="1475.33"/>
    <x v="59"/>
    <s v="P033"/>
    <x v="5"/>
    <x v="3"/>
    <x v="0"/>
    <x v="1"/>
    <s v="A036"/>
    <x v="3"/>
    <x v="3"/>
    <x v="0"/>
    <x v="3"/>
    <x v="0"/>
    <x v="1"/>
    <d v="2023-01-08T00:00:00"/>
  </r>
  <r>
    <s v="T067"/>
    <s v="A067"/>
    <x v="0"/>
    <x v="2"/>
    <n v="930.72"/>
    <x v="60"/>
    <s v="P043"/>
    <x v="3"/>
    <x v="6"/>
    <x v="1"/>
    <x v="0"/>
    <s v="A067"/>
    <x v="4"/>
    <x v="1"/>
    <x v="5"/>
    <x v="8"/>
    <x v="2"/>
    <x v="0"/>
    <d v="2023-08-10T00:00:00"/>
  </r>
  <r>
    <s v="T068"/>
    <s v="A068"/>
    <x v="2"/>
    <x v="1"/>
    <n v="606.37"/>
    <x v="61"/>
    <s v="P037"/>
    <x v="2"/>
    <x v="4"/>
    <x v="1"/>
    <x v="3"/>
    <s v="A017"/>
    <x v="2"/>
    <x v="0"/>
    <x v="0"/>
    <x v="0"/>
    <x v="0"/>
    <x v="0"/>
    <d v="2023-07-11T00:00:00"/>
  </r>
  <r>
    <s v="T069"/>
    <s v="A069"/>
    <x v="1"/>
    <x v="0"/>
    <n v="3388.87"/>
    <x v="40"/>
    <s v="P012"/>
    <x v="8"/>
    <x v="8"/>
    <x v="0"/>
    <x v="1"/>
    <s v="A014"/>
    <x v="2"/>
    <x v="5"/>
    <x v="3"/>
    <x v="5"/>
    <x v="1"/>
    <x v="2"/>
    <d v="2023-05-25T00:00:00"/>
  </r>
  <r>
    <s v="T070"/>
    <s v="A070"/>
    <x v="1"/>
    <x v="0"/>
    <n v="3231.92"/>
    <x v="62"/>
    <s v="P003"/>
    <x v="8"/>
    <x v="7"/>
    <x v="1"/>
    <x v="2"/>
    <s v="A013"/>
    <x v="2"/>
    <x v="3"/>
    <x v="2"/>
    <x v="6"/>
    <x v="0"/>
    <x v="0"/>
    <d v="2023-08-16T00:00:00"/>
  </r>
  <r>
    <s v="T071"/>
    <s v="A071"/>
    <x v="2"/>
    <x v="1"/>
    <n v="2960.14"/>
    <x v="63"/>
    <s v="P001"/>
    <x v="4"/>
    <x v="4"/>
    <x v="0"/>
    <x v="0"/>
    <s v="A007"/>
    <x v="1"/>
    <x v="4"/>
    <x v="2"/>
    <x v="4"/>
    <x v="1"/>
    <x v="0"/>
    <d v="2023-04-09T00:00:00"/>
  </r>
  <r>
    <s v="T072"/>
    <s v="A072"/>
    <x v="2"/>
    <x v="1"/>
    <n v="1543.76"/>
    <x v="64"/>
    <s v="P033"/>
    <x v="5"/>
    <x v="3"/>
    <x v="0"/>
    <x v="1"/>
    <s v="A036"/>
    <x v="3"/>
    <x v="3"/>
    <x v="0"/>
    <x v="3"/>
    <x v="0"/>
    <x v="1"/>
    <d v="2023-01-08T00:00:00"/>
  </r>
  <r>
    <s v="T073"/>
    <s v="A073"/>
    <x v="0"/>
    <x v="2"/>
    <n v="2259.08"/>
    <x v="65"/>
    <s v="P040"/>
    <x v="1"/>
    <x v="4"/>
    <x v="1"/>
    <x v="2"/>
    <s v="A005"/>
    <x v="2"/>
    <x v="3"/>
    <x v="0"/>
    <x v="3"/>
    <x v="0"/>
    <x v="1"/>
    <d v="2023-07-06T00:00:00"/>
  </r>
  <r>
    <s v="T074"/>
    <s v="A074"/>
    <x v="2"/>
    <x v="1"/>
    <n v="3175.14"/>
    <x v="66"/>
    <s v="P010"/>
    <x v="5"/>
    <x v="5"/>
    <x v="1"/>
    <x v="0"/>
    <s v="A040"/>
    <x v="0"/>
    <x v="0"/>
    <x v="0"/>
    <x v="0"/>
    <x v="0"/>
    <x v="3"/>
    <d v="2023-03-27T00:00:00"/>
  </r>
  <r>
    <s v="T075"/>
    <s v="A075"/>
    <x v="0"/>
    <x v="2"/>
    <n v="2735.45"/>
    <x v="67"/>
    <s v="P043"/>
    <x v="3"/>
    <x v="6"/>
    <x v="1"/>
    <x v="0"/>
    <s v="A067"/>
    <x v="4"/>
    <x v="1"/>
    <x v="5"/>
    <x v="8"/>
    <x v="2"/>
    <x v="0"/>
    <d v="2023-08-10T00:00:00"/>
  </r>
  <r>
    <s v="T076"/>
    <s v="A076"/>
    <x v="0"/>
    <x v="2"/>
    <n v="4945.03"/>
    <x v="68"/>
    <s v="P044"/>
    <x v="2"/>
    <x v="5"/>
    <x v="0"/>
    <x v="2"/>
    <s v="A076"/>
    <x v="0"/>
    <x v="3"/>
    <x v="2"/>
    <x v="6"/>
    <x v="0"/>
    <x v="2"/>
    <d v="2023-11-27T00:00:00"/>
  </r>
  <r>
    <s v="T077"/>
    <s v="A077"/>
    <x v="2"/>
    <x v="0"/>
    <n v="1113.98"/>
    <x v="69"/>
    <s v="P029"/>
    <x v="4"/>
    <x v="0"/>
    <x v="1"/>
    <x v="3"/>
    <s v="A012"/>
    <x v="4"/>
    <x v="3"/>
    <x v="0"/>
    <x v="3"/>
    <x v="0"/>
    <x v="3"/>
    <d v="2023-05-07T00:00:00"/>
  </r>
  <r>
    <s v="T078"/>
    <s v="A078"/>
    <x v="4"/>
    <x v="0"/>
    <n v="3628.15"/>
    <x v="70"/>
    <s v="P013"/>
    <x v="8"/>
    <x v="9"/>
    <x v="0"/>
    <x v="0"/>
    <s v="A078"/>
    <x v="1"/>
    <x v="5"/>
    <x v="4"/>
    <x v="7"/>
    <x v="2"/>
    <x v="1"/>
    <d v="2023-09-17T00:00:00"/>
  </r>
  <r>
    <s v="T079"/>
    <s v="A079"/>
    <x v="4"/>
    <x v="0"/>
    <n v="2319.4299999999998"/>
    <x v="71"/>
    <s v="P012"/>
    <x v="8"/>
    <x v="8"/>
    <x v="0"/>
    <x v="1"/>
    <s v="A014"/>
    <x v="2"/>
    <x v="5"/>
    <x v="3"/>
    <x v="5"/>
    <x v="1"/>
    <x v="2"/>
    <d v="2023-05-25T00:00:00"/>
  </r>
  <r>
    <s v="T080"/>
    <s v="A080"/>
    <x v="0"/>
    <x v="0"/>
    <n v="2426.9"/>
    <x v="72"/>
    <s v="P031"/>
    <x v="2"/>
    <x v="2"/>
    <x v="1"/>
    <x v="0"/>
    <s v="A044"/>
    <x v="4"/>
    <x v="2"/>
    <x v="2"/>
    <x v="2"/>
    <x v="0"/>
    <x v="3"/>
    <d v="2023-09-20T00:00:00"/>
  </r>
  <r>
    <s v="T081"/>
    <s v="A081"/>
    <x v="2"/>
    <x v="1"/>
    <n v="3729.19"/>
    <x v="73"/>
    <s v="P046"/>
    <x v="5"/>
    <x v="5"/>
    <x v="0"/>
    <x v="1"/>
    <s v="A026"/>
    <x v="4"/>
    <x v="2"/>
    <x v="2"/>
    <x v="2"/>
    <x v="0"/>
    <x v="2"/>
    <d v="2023-03-17T00:00:00"/>
  </r>
  <r>
    <s v="T082"/>
    <s v="A082"/>
    <x v="4"/>
    <x v="0"/>
    <n v="3615.96"/>
    <x v="74"/>
    <s v="P002"/>
    <x v="1"/>
    <x v="0"/>
    <x v="0"/>
    <x v="2"/>
    <s v="A055"/>
    <x v="3"/>
    <x v="5"/>
    <x v="3"/>
    <x v="5"/>
    <x v="1"/>
    <x v="0"/>
    <d v="2023-10-06T00:00:00"/>
  </r>
  <r>
    <s v="T083"/>
    <s v="A083"/>
    <x v="2"/>
    <x v="1"/>
    <n v="4960.6499999999996"/>
    <x v="75"/>
    <s v="P050"/>
    <x v="8"/>
    <x v="3"/>
    <x v="1"/>
    <x v="0"/>
    <s v="A063"/>
    <x v="4"/>
    <x v="1"/>
    <x v="1"/>
    <x v="1"/>
    <x v="0"/>
    <x v="0"/>
    <d v="2023-06-29T00:00:00"/>
  </r>
  <r>
    <s v="T084"/>
    <s v="A084"/>
    <x v="2"/>
    <x v="0"/>
    <n v="1077.77"/>
    <x v="58"/>
    <s v="P035"/>
    <x v="4"/>
    <x v="3"/>
    <x v="0"/>
    <x v="1"/>
    <s v="A064"/>
    <x v="3"/>
    <x v="2"/>
    <x v="2"/>
    <x v="2"/>
    <x v="0"/>
    <x v="2"/>
    <d v="2023-05-31T00:00:00"/>
  </r>
  <r>
    <s v="T085"/>
    <s v="A085"/>
    <x v="2"/>
    <x v="1"/>
    <n v="968.49"/>
    <x v="76"/>
    <s v="P023"/>
    <x v="3"/>
    <x v="9"/>
    <x v="1"/>
    <x v="0"/>
    <s v="A039"/>
    <x v="4"/>
    <x v="3"/>
    <x v="2"/>
    <x v="6"/>
    <x v="0"/>
    <x v="0"/>
    <d v="2023-04-17T00:00:00"/>
  </r>
  <r>
    <s v="T086"/>
    <s v="A086"/>
    <x v="3"/>
    <x v="2"/>
    <n v="3759.52"/>
    <x v="25"/>
    <s v="P017"/>
    <x v="6"/>
    <x v="7"/>
    <x v="1"/>
    <x v="0"/>
    <s v="A086"/>
    <x v="1"/>
    <x v="3"/>
    <x v="2"/>
    <x v="6"/>
    <x v="0"/>
    <x v="2"/>
    <d v="2023-10-29T00:00:00"/>
  </r>
  <r>
    <s v="T087"/>
    <s v="A087"/>
    <x v="2"/>
    <x v="1"/>
    <n v="3102.74"/>
    <x v="77"/>
    <s v="P026"/>
    <x v="7"/>
    <x v="5"/>
    <x v="1"/>
    <x v="1"/>
    <s v="A015"/>
    <x v="1"/>
    <x v="1"/>
    <x v="1"/>
    <x v="1"/>
    <x v="0"/>
    <x v="1"/>
    <d v="2023-01-15T00:00:00"/>
  </r>
  <r>
    <s v="T088"/>
    <s v="A088"/>
    <x v="3"/>
    <x v="1"/>
    <n v="1733.72"/>
    <x v="44"/>
    <s v="P008"/>
    <x v="4"/>
    <x v="8"/>
    <x v="0"/>
    <x v="0"/>
    <s v="A088"/>
    <x v="3"/>
    <x v="0"/>
    <x v="5"/>
    <x v="9"/>
    <x v="2"/>
    <x v="3"/>
    <d v="2023-05-02T00:00:00"/>
  </r>
  <r>
    <s v="T089"/>
    <s v="A089"/>
    <x v="0"/>
    <x v="0"/>
    <n v="857.39"/>
    <x v="78"/>
    <s v="P029"/>
    <x v="4"/>
    <x v="0"/>
    <x v="1"/>
    <x v="3"/>
    <s v="A012"/>
    <x v="4"/>
    <x v="3"/>
    <x v="0"/>
    <x v="3"/>
    <x v="0"/>
    <x v="3"/>
    <d v="2023-05-07T00:00:00"/>
  </r>
  <r>
    <s v="T090"/>
    <s v="A090"/>
    <x v="4"/>
    <x v="1"/>
    <n v="885.46"/>
    <x v="79"/>
    <s v="P026"/>
    <x v="7"/>
    <x v="5"/>
    <x v="1"/>
    <x v="1"/>
    <s v="A015"/>
    <x v="1"/>
    <x v="1"/>
    <x v="1"/>
    <x v="1"/>
    <x v="0"/>
    <x v="1"/>
    <d v="2023-01-15T00:00:00"/>
  </r>
  <r>
    <s v="T091"/>
    <s v="A091"/>
    <x v="4"/>
    <x v="2"/>
    <n v="4523.8599999999997"/>
    <x v="80"/>
    <s v="P010"/>
    <x v="5"/>
    <x v="5"/>
    <x v="1"/>
    <x v="0"/>
    <s v="A040"/>
    <x v="0"/>
    <x v="0"/>
    <x v="0"/>
    <x v="0"/>
    <x v="0"/>
    <x v="3"/>
    <d v="2023-03-27T00:00:00"/>
  </r>
  <r>
    <s v="T092"/>
    <s v="A092"/>
    <x v="4"/>
    <x v="2"/>
    <n v="1363.4"/>
    <x v="81"/>
    <s v="P026"/>
    <x v="7"/>
    <x v="5"/>
    <x v="1"/>
    <x v="1"/>
    <s v="A015"/>
    <x v="1"/>
    <x v="1"/>
    <x v="1"/>
    <x v="1"/>
    <x v="0"/>
    <x v="1"/>
    <d v="2023-01-15T00:00:00"/>
  </r>
  <r>
    <s v="T093"/>
    <s v="A093"/>
    <x v="4"/>
    <x v="0"/>
    <n v="1955.17"/>
    <x v="6"/>
    <s v="P034"/>
    <x v="0"/>
    <x v="0"/>
    <x v="0"/>
    <x v="0"/>
    <s v="A001"/>
    <x v="0"/>
    <x v="0"/>
    <x v="0"/>
    <x v="0"/>
    <x v="0"/>
    <x v="0"/>
    <d v="2023-08-09T00:00:00"/>
  </r>
  <r>
    <s v="T094"/>
    <s v="A094"/>
    <x v="4"/>
    <x v="2"/>
    <n v="1519.95"/>
    <x v="82"/>
    <s v="P041"/>
    <x v="2"/>
    <x v="4"/>
    <x v="1"/>
    <x v="0"/>
    <s v="A094"/>
    <x v="1"/>
    <x v="3"/>
    <x v="2"/>
    <x v="6"/>
    <x v="0"/>
    <x v="2"/>
    <d v="2023-04-08T00:00:00"/>
  </r>
  <r>
    <s v="T095"/>
    <s v="A095"/>
    <x v="4"/>
    <x v="1"/>
    <n v="2097.48"/>
    <x v="21"/>
    <s v="P007"/>
    <x v="0"/>
    <x v="9"/>
    <x v="0"/>
    <x v="1"/>
    <s v="A095"/>
    <x v="0"/>
    <x v="0"/>
    <x v="0"/>
    <x v="0"/>
    <x v="0"/>
    <x v="2"/>
    <d v="2023-05-09T00:00:00"/>
  </r>
  <r>
    <s v="T096"/>
    <s v="A096"/>
    <x v="4"/>
    <x v="2"/>
    <n v="812.41"/>
    <x v="83"/>
    <s v="P004"/>
    <x v="5"/>
    <x v="9"/>
    <x v="0"/>
    <x v="3"/>
    <s v="A051"/>
    <x v="3"/>
    <x v="2"/>
    <x v="2"/>
    <x v="2"/>
    <x v="0"/>
    <x v="3"/>
    <d v="2023-02-04T00:00:00"/>
  </r>
  <r>
    <s v="T097"/>
    <s v="A097"/>
    <x v="0"/>
    <x v="0"/>
    <n v="2835.77"/>
    <x v="84"/>
    <s v="P050"/>
    <x v="8"/>
    <x v="3"/>
    <x v="1"/>
    <x v="0"/>
    <s v="A063"/>
    <x v="4"/>
    <x v="1"/>
    <x v="1"/>
    <x v="1"/>
    <x v="0"/>
    <x v="0"/>
    <d v="2023-06-29T00:00:00"/>
  </r>
  <r>
    <s v="T098"/>
    <s v="A098"/>
    <x v="2"/>
    <x v="1"/>
    <n v="804.26"/>
    <x v="24"/>
    <s v="P045"/>
    <x v="3"/>
    <x v="2"/>
    <x v="0"/>
    <x v="1"/>
    <s v="A006"/>
    <x v="3"/>
    <x v="2"/>
    <x v="2"/>
    <x v="2"/>
    <x v="0"/>
    <x v="0"/>
    <d v="2023-06-19T00:00:00"/>
  </r>
  <r>
    <s v="T099"/>
    <s v="A099"/>
    <x v="1"/>
    <x v="0"/>
    <n v="4101.6000000000004"/>
    <x v="85"/>
    <s v="P011"/>
    <x v="1"/>
    <x v="7"/>
    <x v="0"/>
    <x v="1"/>
    <s v="A099"/>
    <x v="3"/>
    <x v="4"/>
    <x v="2"/>
    <x v="4"/>
    <x v="1"/>
    <x v="3"/>
    <d v="2023-07-04T00:00:00"/>
  </r>
  <r>
    <s v="T100"/>
    <s v="A100"/>
    <x v="3"/>
    <x v="1"/>
    <n v="1551.7"/>
    <x v="86"/>
    <s v="P029"/>
    <x v="4"/>
    <x v="0"/>
    <x v="1"/>
    <x v="3"/>
    <s v="A012"/>
    <x v="4"/>
    <x v="3"/>
    <x v="0"/>
    <x v="3"/>
    <x v="0"/>
    <x v="3"/>
    <d v="2023-05-07T00:00:00"/>
  </r>
  <r>
    <s v="T101"/>
    <s v="A101"/>
    <x v="1"/>
    <x v="2"/>
    <n v="2930.05"/>
    <x v="87"/>
    <s v="P036"/>
    <x v="5"/>
    <x v="3"/>
    <x v="1"/>
    <x v="1"/>
    <s v="A035"/>
    <x v="4"/>
    <x v="3"/>
    <x v="0"/>
    <x v="3"/>
    <x v="0"/>
    <x v="0"/>
    <d v="2023-04-18T00:00:00"/>
  </r>
  <r>
    <s v="T102"/>
    <s v="A102"/>
    <x v="1"/>
    <x v="0"/>
    <n v="4460.3599999999997"/>
    <x v="88"/>
    <s v="P025"/>
    <x v="2"/>
    <x v="3"/>
    <x v="1"/>
    <x v="3"/>
    <s v="A004"/>
    <x v="1"/>
    <x v="2"/>
    <x v="2"/>
    <x v="2"/>
    <x v="0"/>
    <x v="2"/>
    <d v="2023-09-01T00:00:00"/>
  </r>
  <r>
    <s v="T103"/>
    <s v="A103"/>
    <x v="2"/>
    <x v="0"/>
    <n v="3428.95"/>
    <x v="89"/>
    <s v="P021"/>
    <x v="5"/>
    <x v="3"/>
    <x v="1"/>
    <x v="0"/>
    <s v="A033"/>
    <x v="0"/>
    <x v="0"/>
    <x v="5"/>
    <x v="9"/>
    <x v="2"/>
    <x v="1"/>
    <d v="2023-09-23T00:00:00"/>
  </r>
  <r>
    <s v="T104"/>
    <s v="A104"/>
    <x v="2"/>
    <x v="1"/>
    <n v="2898.31"/>
    <x v="32"/>
    <s v="P036"/>
    <x v="5"/>
    <x v="3"/>
    <x v="1"/>
    <x v="1"/>
    <s v="A035"/>
    <x v="4"/>
    <x v="3"/>
    <x v="0"/>
    <x v="3"/>
    <x v="0"/>
    <x v="0"/>
    <d v="2023-04-18T00:00:00"/>
  </r>
  <r>
    <s v="T105"/>
    <s v="A105"/>
    <x v="2"/>
    <x v="0"/>
    <n v="1959.5"/>
    <x v="90"/>
    <s v="P010"/>
    <x v="5"/>
    <x v="5"/>
    <x v="1"/>
    <x v="0"/>
    <s v="A040"/>
    <x v="0"/>
    <x v="0"/>
    <x v="0"/>
    <x v="0"/>
    <x v="0"/>
    <x v="3"/>
    <d v="2023-03-27T00:00:00"/>
  </r>
  <r>
    <s v="T106"/>
    <s v="A106"/>
    <x v="4"/>
    <x v="1"/>
    <n v="1998.51"/>
    <x v="25"/>
    <s v="P037"/>
    <x v="2"/>
    <x v="4"/>
    <x v="1"/>
    <x v="3"/>
    <s v="A017"/>
    <x v="2"/>
    <x v="0"/>
    <x v="0"/>
    <x v="0"/>
    <x v="0"/>
    <x v="0"/>
    <d v="2023-07-11T00:00:00"/>
  </r>
  <r>
    <s v="T107"/>
    <s v="A107"/>
    <x v="0"/>
    <x v="1"/>
    <n v="3512.69"/>
    <x v="36"/>
    <s v="P009"/>
    <x v="8"/>
    <x v="8"/>
    <x v="1"/>
    <x v="2"/>
    <s v="A107"/>
    <x v="4"/>
    <x v="4"/>
    <x v="2"/>
    <x v="4"/>
    <x v="1"/>
    <x v="3"/>
    <d v="2023-04-17T00:00:00"/>
  </r>
  <r>
    <s v="T108"/>
    <s v="A108"/>
    <x v="4"/>
    <x v="1"/>
    <n v="4973.63"/>
    <x v="91"/>
    <s v="P024"/>
    <x v="9"/>
    <x v="6"/>
    <x v="0"/>
    <x v="0"/>
    <s v="A053"/>
    <x v="3"/>
    <x v="0"/>
    <x v="5"/>
    <x v="9"/>
    <x v="2"/>
    <x v="2"/>
    <d v="2023-02-12T00:00:00"/>
  </r>
  <r>
    <s v="T109"/>
    <s v="A109"/>
    <x v="0"/>
    <x v="1"/>
    <n v="3478.28"/>
    <x v="92"/>
    <s v="P035"/>
    <x v="4"/>
    <x v="3"/>
    <x v="0"/>
    <x v="1"/>
    <s v="A064"/>
    <x v="3"/>
    <x v="2"/>
    <x v="2"/>
    <x v="2"/>
    <x v="0"/>
    <x v="2"/>
    <d v="2023-05-31T00:00:00"/>
  </r>
  <r>
    <s v="T110"/>
    <s v="A110"/>
    <x v="0"/>
    <x v="2"/>
    <n v="3010.03"/>
    <x v="93"/>
    <s v="P049"/>
    <x v="4"/>
    <x v="1"/>
    <x v="1"/>
    <x v="1"/>
    <s v="A024"/>
    <x v="3"/>
    <x v="5"/>
    <x v="4"/>
    <x v="7"/>
    <x v="2"/>
    <x v="3"/>
    <d v="2023-06-21T00:00:00"/>
  </r>
  <r>
    <s v="T111"/>
    <s v="A111"/>
    <x v="1"/>
    <x v="1"/>
    <n v="3787.93"/>
    <x v="94"/>
    <s v="P035"/>
    <x v="4"/>
    <x v="3"/>
    <x v="0"/>
    <x v="1"/>
    <s v="A064"/>
    <x v="3"/>
    <x v="2"/>
    <x v="2"/>
    <x v="2"/>
    <x v="0"/>
    <x v="2"/>
    <d v="2023-05-31T00:00:00"/>
  </r>
  <r>
    <s v="T112"/>
    <s v="A112"/>
    <x v="1"/>
    <x v="0"/>
    <n v="2593.4299999999998"/>
    <x v="95"/>
    <s v="P048"/>
    <x v="1"/>
    <x v="2"/>
    <x v="1"/>
    <x v="2"/>
    <s v="A003"/>
    <x v="1"/>
    <x v="1"/>
    <x v="1"/>
    <x v="1"/>
    <x v="0"/>
    <x v="2"/>
    <d v="2023-06-28T00:00:00"/>
  </r>
  <r>
    <s v="T113"/>
    <s v="A113"/>
    <x v="0"/>
    <x v="2"/>
    <n v="770.64"/>
    <x v="96"/>
    <s v="P036"/>
    <x v="5"/>
    <x v="3"/>
    <x v="1"/>
    <x v="1"/>
    <s v="A035"/>
    <x v="4"/>
    <x v="3"/>
    <x v="0"/>
    <x v="3"/>
    <x v="0"/>
    <x v="0"/>
    <d v="2023-04-18T00:00:00"/>
  </r>
  <r>
    <s v="T114"/>
    <s v="A114"/>
    <x v="0"/>
    <x v="0"/>
    <n v="3030.34"/>
    <x v="97"/>
    <s v="P018"/>
    <x v="8"/>
    <x v="3"/>
    <x v="1"/>
    <x v="2"/>
    <s v="A114"/>
    <x v="0"/>
    <x v="1"/>
    <x v="5"/>
    <x v="8"/>
    <x v="2"/>
    <x v="3"/>
    <d v="2023-08-08T00:00:00"/>
  </r>
  <r>
    <s v="T115"/>
    <s v="A115"/>
    <x v="4"/>
    <x v="2"/>
    <n v="4809.3100000000004"/>
    <x v="88"/>
    <s v="P049"/>
    <x v="4"/>
    <x v="1"/>
    <x v="1"/>
    <x v="1"/>
    <s v="A024"/>
    <x v="3"/>
    <x v="5"/>
    <x v="4"/>
    <x v="7"/>
    <x v="2"/>
    <x v="3"/>
    <d v="2023-06-21T00:00:00"/>
  </r>
  <r>
    <s v="T116"/>
    <s v="A116"/>
    <x v="4"/>
    <x v="1"/>
    <n v="1288.8599999999999"/>
    <x v="83"/>
    <s v="P039"/>
    <x v="6"/>
    <x v="3"/>
    <x v="0"/>
    <x v="2"/>
    <s v="A009"/>
    <x v="4"/>
    <x v="5"/>
    <x v="3"/>
    <x v="5"/>
    <x v="1"/>
    <x v="0"/>
    <d v="2023-03-05T00:00:00"/>
  </r>
  <r>
    <s v="T117"/>
    <s v="A117"/>
    <x v="1"/>
    <x v="2"/>
    <n v="3605.02"/>
    <x v="98"/>
    <s v="P032"/>
    <x v="0"/>
    <x v="1"/>
    <x v="1"/>
    <x v="1"/>
    <s v="A002"/>
    <x v="0"/>
    <x v="1"/>
    <x v="1"/>
    <x v="1"/>
    <x v="0"/>
    <x v="1"/>
    <d v="2023-06-09T00:00:00"/>
  </r>
  <r>
    <s v="T118"/>
    <s v="A118"/>
    <x v="2"/>
    <x v="2"/>
    <n v="1404.2"/>
    <x v="0"/>
    <s v="P024"/>
    <x v="9"/>
    <x v="6"/>
    <x v="0"/>
    <x v="0"/>
    <s v="A053"/>
    <x v="3"/>
    <x v="0"/>
    <x v="5"/>
    <x v="9"/>
    <x v="2"/>
    <x v="2"/>
    <d v="2023-02-12T00:00:00"/>
  </r>
  <r>
    <s v="T119"/>
    <s v="A119"/>
    <x v="0"/>
    <x v="0"/>
    <n v="2911.22"/>
    <x v="99"/>
    <s v="P023"/>
    <x v="3"/>
    <x v="9"/>
    <x v="1"/>
    <x v="0"/>
    <s v="A039"/>
    <x v="4"/>
    <x v="3"/>
    <x v="2"/>
    <x v="6"/>
    <x v="0"/>
    <x v="0"/>
    <d v="2023-04-17T00:00:00"/>
  </r>
  <r>
    <s v="T120"/>
    <s v="A120"/>
    <x v="4"/>
    <x v="0"/>
    <n v="935.04"/>
    <x v="100"/>
    <s v="P032"/>
    <x v="0"/>
    <x v="1"/>
    <x v="1"/>
    <x v="1"/>
    <s v="A002"/>
    <x v="0"/>
    <x v="1"/>
    <x v="1"/>
    <x v="1"/>
    <x v="0"/>
    <x v="1"/>
    <d v="2023-06-09T00:00:00"/>
  </r>
  <r>
    <s v="T121"/>
    <s v="A121"/>
    <x v="1"/>
    <x v="1"/>
    <n v="2526.67"/>
    <x v="101"/>
    <s v="P037"/>
    <x v="2"/>
    <x v="4"/>
    <x v="1"/>
    <x v="3"/>
    <s v="A017"/>
    <x v="2"/>
    <x v="0"/>
    <x v="0"/>
    <x v="0"/>
    <x v="0"/>
    <x v="0"/>
    <d v="2023-07-11T00:00:00"/>
  </r>
  <r>
    <s v="T122"/>
    <s v="A122"/>
    <x v="4"/>
    <x v="2"/>
    <n v="3902.73"/>
    <x v="16"/>
    <s v="P012"/>
    <x v="8"/>
    <x v="8"/>
    <x v="0"/>
    <x v="1"/>
    <s v="A014"/>
    <x v="2"/>
    <x v="5"/>
    <x v="3"/>
    <x v="5"/>
    <x v="1"/>
    <x v="2"/>
    <d v="2023-05-25T00:00:00"/>
  </r>
  <r>
    <s v="T123"/>
    <s v="A123"/>
    <x v="0"/>
    <x v="2"/>
    <n v="2064.0700000000002"/>
    <x v="102"/>
    <s v="P049"/>
    <x v="4"/>
    <x v="1"/>
    <x v="1"/>
    <x v="1"/>
    <s v="A024"/>
    <x v="3"/>
    <x v="5"/>
    <x v="4"/>
    <x v="7"/>
    <x v="2"/>
    <x v="3"/>
    <d v="2023-06-21T00:00:00"/>
  </r>
  <r>
    <s v="T124"/>
    <s v="A124"/>
    <x v="0"/>
    <x v="2"/>
    <n v="3492.1"/>
    <x v="103"/>
    <s v="P013"/>
    <x v="8"/>
    <x v="9"/>
    <x v="0"/>
    <x v="0"/>
    <s v="A078"/>
    <x v="1"/>
    <x v="5"/>
    <x v="4"/>
    <x v="7"/>
    <x v="2"/>
    <x v="1"/>
    <d v="2023-09-17T00:00:00"/>
  </r>
  <r>
    <s v="T125"/>
    <s v="A125"/>
    <x v="3"/>
    <x v="1"/>
    <n v="4079.52"/>
    <x v="76"/>
    <s v="P023"/>
    <x v="3"/>
    <x v="9"/>
    <x v="1"/>
    <x v="0"/>
    <s v="A039"/>
    <x v="4"/>
    <x v="3"/>
    <x v="2"/>
    <x v="6"/>
    <x v="0"/>
    <x v="0"/>
    <d v="2023-04-17T00:00:00"/>
  </r>
  <r>
    <s v="T126"/>
    <s v="A126"/>
    <x v="2"/>
    <x v="1"/>
    <n v="4672.3"/>
    <x v="104"/>
    <s v="P025"/>
    <x v="2"/>
    <x v="3"/>
    <x v="1"/>
    <x v="3"/>
    <s v="A004"/>
    <x v="1"/>
    <x v="2"/>
    <x v="2"/>
    <x v="2"/>
    <x v="0"/>
    <x v="2"/>
    <d v="2023-09-01T00:00:00"/>
  </r>
  <r>
    <s v="T127"/>
    <s v="A127"/>
    <x v="3"/>
    <x v="1"/>
    <n v="1555.89"/>
    <x v="105"/>
    <s v="P035"/>
    <x v="4"/>
    <x v="3"/>
    <x v="0"/>
    <x v="1"/>
    <s v="A064"/>
    <x v="3"/>
    <x v="2"/>
    <x v="2"/>
    <x v="2"/>
    <x v="0"/>
    <x v="2"/>
    <d v="2023-05-31T00:00:00"/>
  </r>
  <r>
    <s v="T128"/>
    <s v="A128"/>
    <x v="1"/>
    <x v="1"/>
    <n v="2296.92"/>
    <x v="53"/>
    <s v="P041"/>
    <x v="2"/>
    <x v="4"/>
    <x v="1"/>
    <x v="0"/>
    <s v="A094"/>
    <x v="1"/>
    <x v="3"/>
    <x v="2"/>
    <x v="6"/>
    <x v="0"/>
    <x v="2"/>
    <d v="2023-04-08T00:00:00"/>
  </r>
  <r>
    <s v="T129"/>
    <s v="A129"/>
    <x v="4"/>
    <x v="1"/>
    <n v="1185.8699999999999"/>
    <x v="106"/>
    <s v="P030"/>
    <x v="1"/>
    <x v="1"/>
    <x v="1"/>
    <x v="2"/>
    <s v="A025"/>
    <x v="4"/>
    <x v="1"/>
    <x v="5"/>
    <x v="8"/>
    <x v="2"/>
    <x v="1"/>
    <d v="2023-02-25T00:00:00"/>
  </r>
  <r>
    <s v="T130"/>
    <s v="A130"/>
    <x v="1"/>
    <x v="0"/>
    <n v="4966.18"/>
    <x v="35"/>
    <s v="P017"/>
    <x v="6"/>
    <x v="7"/>
    <x v="1"/>
    <x v="0"/>
    <s v="A086"/>
    <x v="1"/>
    <x v="3"/>
    <x v="2"/>
    <x v="6"/>
    <x v="0"/>
    <x v="2"/>
    <d v="2023-10-29T00:00:00"/>
  </r>
  <r>
    <s v="T131"/>
    <s v="A131"/>
    <x v="0"/>
    <x v="2"/>
    <n v="4671.5"/>
    <x v="107"/>
    <s v="P049"/>
    <x v="4"/>
    <x v="1"/>
    <x v="1"/>
    <x v="1"/>
    <s v="A024"/>
    <x v="3"/>
    <x v="5"/>
    <x v="4"/>
    <x v="7"/>
    <x v="2"/>
    <x v="3"/>
    <d v="2023-06-21T00:00:00"/>
  </r>
  <r>
    <s v="T132"/>
    <s v="A132"/>
    <x v="3"/>
    <x v="2"/>
    <n v="2929.81"/>
    <x v="108"/>
    <s v="P020"/>
    <x v="6"/>
    <x v="1"/>
    <x v="0"/>
    <x v="1"/>
    <s v="A060"/>
    <x v="3"/>
    <x v="3"/>
    <x v="2"/>
    <x v="6"/>
    <x v="0"/>
    <x v="1"/>
    <d v="2023-11-22T00:00:00"/>
  </r>
  <r>
    <s v="T133"/>
    <s v="A133"/>
    <x v="3"/>
    <x v="2"/>
    <n v="4289.1499999999996"/>
    <x v="109"/>
    <s v="P048"/>
    <x v="1"/>
    <x v="2"/>
    <x v="1"/>
    <x v="2"/>
    <s v="A003"/>
    <x v="1"/>
    <x v="1"/>
    <x v="1"/>
    <x v="1"/>
    <x v="0"/>
    <x v="2"/>
    <d v="2023-06-28T00:00:00"/>
  </r>
  <r>
    <s v="T134"/>
    <s v="A134"/>
    <x v="3"/>
    <x v="2"/>
    <n v="2844.31"/>
    <x v="110"/>
    <s v="P025"/>
    <x v="2"/>
    <x v="3"/>
    <x v="1"/>
    <x v="3"/>
    <s v="A004"/>
    <x v="1"/>
    <x v="2"/>
    <x v="2"/>
    <x v="2"/>
    <x v="0"/>
    <x v="2"/>
    <d v="2023-09-01T00:00:00"/>
  </r>
  <r>
    <s v="T135"/>
    <s v="A135"/>
    <x v="1"/>
    <x v="2"/>
    <n v="3306.14"/>
    <x v="111"/>
    <s v="P022"/>
    <x v="7"/>
    <x v="6"/>
    <x v="1"/>
    <x v="1"/>
    <s v="A011"/>
    <x v="3"/>
    <x v="4"/>
    <x v="2"/>
    <x v="4"/>
    <x v="1"/>
    <x v="1"/>
    <d v="2023-11-12T00:00:00"/>
  </r>
  <r>
    <s v="T136"/>
    <s v="A136"/>
    <x v="0"/>
    <x v="2"/>
    <n v="901.06"/>
    <x v="112"/>
    <s v="P013"/>
    <x v="8"/>
    <x v="9"/>
    <x v="0"/>
    <x v="0"/>
    <s v="A078"/>
    <x v="1"/>
    <x v="5"/>
    <x v="4"/>
    <x v="7"/>
    <x v="2"/>
    <x v="1"/>
    <d v="2023-09-17T00:00:00"/>
  </r>
  <r>
    <s v="T137"/>
    <s v="A137"/>
    <x v="4"/>
    <x v="2"/>
    <n v="3898.72"/>
    <x v="88"/>
    <s v="P019"/>
    <x v="9"/>
    <x v="2"/>
    <x v="1"/>
    <x v="0"/>
    <s v="A046"/>
    <x v="1"/>
    <x v="3"/>
    <x v="0"/>
    <x v="3"/>
    <x v="0"/>
    <x v="2"/>
    <d v="2023-12-20T00:00:00"/>
  </r>
  <r>
    <s v="T138"/>
    <s v="A138"/>
    <x v="4"/>
    <x v="2"/>
    <n v="1074.71"/>
    <x v="71"/>
    <s v="P049"/>
    <x v="4"/>
    <x v="1"/>
    <x v="1"/>
    <x v="1"/>
    <s v="A024"/>
    <x v="3"/>
    <x v="5"/>
    <x v="4"/>
    <x v="7"/>
    <x v="2"/>
    <x v="3"/>
    <d v="2023-06-21T00:00:00"/>
  </r>
  <r>
    <s v="T139"/>
    <s v="A139"/>
    <x v="1"/>
    <x v="0"/>
    <n v="4217.3"/>
    <x v="113"/>
    <s v="P036"/>
    <x v="5"/>
    <x v="3"/>
    <x v="1"/>
    <x v="1"/>
    <s v="A035"/>
    <x v="4"/>
    <x v="3"/>
    <x v="0"/>
    <x v="3"/>
    <x v="0"/>
    <x v="0"/>
    <d v="2023-04-18T00:00:00"/>
  </r>
  <r>
    <s v="T140"/>
    <s v="A140"/>
    <x v="3"/>
    <x v="2"/>
    <n v="4019.13"/>
    <x v="114"/>
    <s v="P012"/>
    <x v="8"/>
    <x v="8"/>
    <x v="0"/>
    <x v="1"/>
    <s v="A014"/>
    <x v="2"/>
    <x v="5"/>
    <x v="3"/>
    <x v="5"/>
    <x v="1"/>
    <x v="2"/>
    <d v="2023-05-25T00:00:00"/>
  </r>
  <r>
    <s v="T141"/>
    <s v="A141"/>
    <x v="2"/>
    <x v="0"/>
    <n v="3689.35"/>
    <x v="115"/>
    <s v="P041"/>
    <x v="2"/>
    <x v="4"/>
    <x v="1"/>
    <x v="0"/>
    <s v="A094"/>
    <x v="1"/>
    <x v="3"/>
    <x v="2"/>
    <x v="6"/>
    <x v="0"/>
    <x v="2"/>
    <d v="2023-04-08T00:00:00"/>
  </r>
  <r>
    <s v="T142"/>
    <s v="A142"/>
    <x v="1"/>
    <x v="1"/>
    <n v="662.72"/>
    <x v="116"/>
    <s v="P019"/>
    <x v="9"/>
    <x v="2"/>
    <x v="1"/>
    <x v="0"/>
    <s v="A046"/>
    <x v="1"/>
    <x v="3"/>
    <x v="0"/>
    <x v="3"/>
    <x v="0"/>
    <x v="2"/>
    <d v="2023-12-20T00:00:00"/>
  </r>
  <r>
    <s v="T143"/>
    <s v="A143"/>
    <x v="1"/>
    <x v="2"/>
    <n v="1864.08"/>
    <x v="87"/>
    <s v="P012"/>
    <x v="8"/>
    <x v="8"/>
    <x v="0"/>
    <x v="1"/>
    <s v="A014"/>
    <x v="2"/>
    <x v="5"/>
    <x v="3"/>
    <x v="5"/>
    <x v="1"/>
    <x v="2"/>
    <d v="2023-05-25T00:00:00"/>
  </r>
  <r>
    <s v="T144"/>
    <s v="A144"/>
    <x v="0"/>
    <x v="1"/>
    <n v="1684.01"/>
    <x v="12"/>
    <s v="P009"/>
    <x v="8"/>
    <x v="8"/>
    <x v="1"/>
    <x v="2"/>
    <s v="A107"/>
    <x v="4"/>
    <x v="4"/>
    <x v="2"/>
    <x v="4"/>
    <x v="1"/>
    <x v="3"/>
    <d v="2023-04-17T00:00:00"/>
  </r>
  <r>
    <s v="T145"/>
    <s v="A145"/>
    <x v="4"/>
    <x v="1"/>
    <n v="2120.61"/>
    <x v="117"/>
    <s v="P007"/>
    <x v="0"/>
    <x v="9"/>
    <x v="0"/>
    <x v="1"/>
    <s v="A095"/>
    <x v="0"/>
    <x v="0"/>
    <x v="0"/>
    <x v="0"/>
    <x v="0"/>
    <x v="2"/>
    <d v="2023-05-09T00:00:00"/>
  </r>
  <r>
    <s v="T146"/>
    <s v="A146"/>
    <x v="1"/>
    <x v="1"/>
    <n v="894.39"/>
    <x v="118"/>
    <s v="P028"/>
    <x v="0"/>
    <x v="1"/>
    <x v="1"/>
    <x v="1"/>
    <s v="A021"/>
    <x v="0"/>
    <x v="0"/>
    <x v="0"/>
    <x v="0"/>
    <x v="0"/>
    <x v="1"/>
    <d v="2023-04-24T00:00:00"/>
  </r>
  <r>
    <s v="T147"/>
    <s v="A147"/>
    <x v="1"/>
    <x v="0"/>
    <n v="4716.3100000000004"/>
    <x v="105"/>
    <s v="P014"/>
    <x v="0"/>
    <x v="5"/>
    <x v="1"/>
    <x v="1"/>
    <s v="A020"/>
    <x v="1"/>
    <x v="3"/>
    <x v="0"/>
    <x v="3"/>
    <x v="0"/>
    <x v="3"/>
    <d v="2023-12-05T00:00:00"/>
  </r>
  <r>
    <s v="T148"/>
    <s v="A148"/>
    <x v="3"/>
    <x v="1"/>
    <n v="2992.11"/>
    <x v="119"/>
    <s v="P031"/>
    <x v="2"/>
    <x v="2"/>
    <x v="1"/>
    <x v="0"/>
    <s v="A044"/>
    <x v="4"/>
    <x v="2"/>
    <x v="2"/>
    <x v="2"/>
    <x v="0"/>
    <x v="3"/>
    <d v="2023-09-20T00:00:00"/>
  </r>
  <r>
    <s v="T149"/>
    <s v="A149"/>
    <x v="3"/>
    <x v="1"/>
    <n v="1874.86"/>
    <x v="108"/>
    <s v="P019"/>
    <x v="9"/>
    <x v="2"/>
    <x v="1"/>
    <x v="0"/>
    <s v="A046"/>
    <x v="1"/>
    <x v="3"/>
    <x v="0"/>
    <x v="3"/>
    <x v="0"/>
    <x v="2"/>
    <d v="2023-12-20T00:00:00"/>
  </r>
  <r>
    <s v="T150"/>
    <s v="A150"/>
    <x v="2"/>
    <x v="1"/>
    <n v="2286.42"/>
    <x v="12"/>
    <s v="P047"/>
    <x v="6"/>
    <x v="1"/>
    <x v="1"/>
    <x v="0"/>
    <s v="A023"/>
    <x v="4"/>
    <x v="0"/>
    <x v="0"/>
    <x v="0"/>
    <x v="0"/>
    <x v="2"/>
    <d v="2023-05-09T00:00:00"/>
  </r>
  <r>
    <s v="T151"/>
    <s v="A151"/>
    <x v="0"/>
    <x v="2"/>
    <n v="2512.41"/>
    <x v="120"/>
    <s v="P016"/>
    <x v="5"/>
    <x v="5"/>
    <x v="1"/>
    <x v="2"/>
    <s v="A008"/>
    <x v="1"/>
    <x v="5"/>
    <x v="3"/>
    <x v="5"/>
    <x v="1"/>
    <x v="2"/>
    <d v="2023-05-24T00:00:00"/>
  </r>
  <r>
    <s v="T152"/>
    <s v="A152"/>
    <x v="2"/>
    <x v="2"/>
    <n v="3202.67"/>
    <x v="121"/>
    <s v="P005"/>
    <x v="4"/>
    <x v="3"/>
    <x v="1"/>
    <x v="1"/>
    <s v="A010"/>
    <x v="0"/>
    <x v="3"/>
    <x v="0"/>
    <x v="3"/>
    <x v="0"/>
    <x v="3"/>
    <d v="2023-01-13T00:00:00"/>
  </r>
  <r>
    <s v="T153"/>
    <s v="A153"/>
    <x v="3"/>
    <x v="0"/>
    <n v="2820.56"/>
    <x v="122"/>
    <s v="P035"/>
    <x v="4"/>
    <x v="3"/>
    <x v="0"/>
    <x v="1"/>
    <s v="A064"/>
    <x v="3"/>
    <x v="2"/>
    <x v="2"/>
    <x v="2"/>
    <x v="0"/>
    <x v="2"/>
    <d v="2023-05-31T00:00:00"/>
  </r>
  <r>
    <s v="T154"/>
    <s v="A154"/>
    <x v="4"/>
    <x v="0"/>
    <n v="4637.26"/>
    <x v="123"/>
    <s v="P012"/>
    <x v="8"/>
    <x v="8"/>
    <x v="0"/>
    <x v="1"/>
    <s v="A014"/>
    <x v="2"/>
    <x v="5"/>
    <x v="3"/>
    <x v="5"/>
    <x v="1"/>
    <x v="2"/>
    <d v="2023-05-25T00:00:00"/>
  </r>
  <r>
    <s v="T155"/>
    <s v="A155"/>
    <x v="3"/>
    <x v="2"/>
    <n v="2736.34"/>
    <x v="124"/>
    <s v="P025"/>
    <x v="2"/>
    <x v="3"/>
    <x v="1"/>
    <x v="3"/>
    <s v="A004"/>
    <x v="1"/>
    <x v="2"/>
    <x v="2"/>
    <x v="2"/>
    <x v="0"/>
    <x v="2"/>
    <d v="2023-09-01T00:00:00"/>
  </r>
  <r>
    <s v="T156"/>
    <s v="A156"/>
    <x v="0"/>
    <x v="0"/>
    <n v="4964.71"/>
    <x v="55"/>
    <s v="P021"/>
    <x v="5"/>
    <x v="3"/>
    <x v="1"/>
    <x v="0"/>
    <s v="A033"/>
    <x v="0"/>
    <x v="0"/>
    <x v="5"/>
    <x v="9"/>
    <x v="2"/>
    <x v="1"/>
    <d v="2023-09-23T00:00:00"/>
  </r>
  <r>
    <s v="T157"/>
    <s v="A157"/>
    <x v="3"/>
    <x v="2"/>
    <n v="4331.41"/>
    <x v="125"/>
    <s v="P036"/>
    <x v="5"/>
    <x v="3"/>
    <x v="1"/>
    <x v="1"/>
    <s v="A035"/>
    <x v="4"/>
    <x v="3"/>
    <x v="0"/>
    <x v="3"/>
    <x v="0"/>
    <x v="0"/>
    <d v="2023-04-18T00:00:00"/>
  </r>
  <r>
    <s v="T158"/>
    <s v="A158"/>
    <x v="0"/>
    <x v="1"/>
    <n v="1438.3"/>
    <x v="48"/>
    <s v="P023"/>
    <x v="3"/>
    <x v="9"/>
    <x v="1"/>
    <x v="0"/>
    <s v="A039"/>
    <x v="4"/>
    <x v="3"/>
    <x v="2"/>
    <x v="6"/>
    <x v="0"/>
    <x v="0"/>
    <d v="2023-04-17T00:00:00"/>
  </r>
  <r>
    <s v="T159"/>
    <s v="A159"/>
    <x v="0"/>
    <x v="1"/>
    <n v="4687.68"/>
    <x v="82"/>
    <s v="P016"/>
    <x v="5"/>
    <x v="5"/>
    <x v="1"/>
    <x v="2"/>
    <s v="A008"/>
    <x v="1"/>
    <x v="5"/>
    <x v="3"/>
    <x v="5"/>
    <x v="1"/>
    <x v="2"/>
    <d v="2023-05-24T00:00:00"/>
  </r>
  <r>
    <s v="T160"/>
    <s v="A160"/>
    <x v="0"/>
    <x v="0"/>
    <n v="1023.65"/>
    <x v="126"/>
    <s v="P039"/>
    <x v="6"/>
    <x v="3"/>
    <x v="0"/>
    <x v="2"/>
    <s v="A009"/>
    <x v="4"/>
    <x v="5"/>
    <x v="3"/>
    <x v="5"/>
    <x v="1"/>
    <x v="0"/>
    <d v="2023-03-05T00:00:00"/>
  </r>
  <r>
    <s v="T161"/>
    <s v="A161"/>
    <x v="0"/>
    <x v="2"/>
    <n v="4178.5200000000004"/>
    <x v="127"/>
    <s v="P045"/>
    <x v="3"/>
    <x v="2"/>
    <x v="0"/>
    <x v="1"/>
    <s v="A006"/>
    <x v="3"/>
    <x v="2"/>
    <x v="2"/>
    <x v="2"/>
    <x v="0"/>
    <x v="0"/>
    <d v="2023-06-19T00:00:00"/>
  </r>
  <r>
    <s v="T162"/>
    <s v="A162"/>
    <x v="0"/>
    <x v="2"/>
    <n v="2212.8000000000002"/>
    <x v="38"/>
    <s v="P042"/>
    <x v="6"/>
    <x v="0"/>
    <x v="0"/>
    <x v="1"/>
    <s v="A162"/>
    <x v="2"/>
    <x v="1"/>
    <x v="1"/>
    <x v="1"/>
    <x v="0"/>
    <x v="1"/>
    <d v="2023-01-01T00:00:00"/>
  </r>
  <r>
    <s v="T163"/>
    <s v="A163"/>
    <x v="4"/>
    <x v="0"/>
    <n v="4450.88"/>
    <x v="128"/>
    <s v="P039"/>
    <x v="6"/>
    <x v="3"/>
    <x v="0"/>
    <x v="2"/>
    <s v="A009"/>
    <x v="4"/>
    <x v="5"/>
    <x v="3"/>
    <x v="5"/>
    <x v="1"/>
    <x v="0"/>
    <d v="2023-03-05T00:00:00"/>
  </r>
  <r>
    <s v="T164"/>
    <s v="A164"/>
    <x v="2"/>
    <x v="2"/>
    <n v="4406.26"/>
    <x v="129"/>
    <s v="P014"/>
    <x v="0"/>
    <x v="5"/>
    <x v="1"/>
    <x v="1"/>
    <s v="A020"/>
    <x v="1"/>
    <x v="3"/>
    <x v="0"/>
    <x v="3"/>
    <x v="0"/>
    <x v="3"/>
    <d v="2023-12-05T00:00:00"/>
  </r>
  <r>
    <s v="T165"/>
    <s v="A165"/>
    <x v="1"/>
    <x v="1"/>
    <n v="4126.66"/>
    <x v="28"/>
    <s v="P031"/>
    <x v="2"/>
    <x v="2"/>
    <x v="1"/>
    <x v="0"/>
    <s v="A044"/>
    <x v="4"/>
    <x v="2"/>
    <x v="2"/>
    <x v="2"/>
    <x v="0"/>
    <x v="3"/>
    <d v="2023-09-20T00:00:00"/>
  </r>
  <r>
    <s v="T166"/>
    <s v="A166"/>
    <x v="2"/>
    <x v="0"/>
    <n v="4055.14"/>
    <x v="130"/>
    <s v="P005"/>
    <x v="4"/>
    <x v="3"/>
    <x v="1"/>
    <x v="1"/>
    <s v="A010"/>
    <x v="0"/>
    <x v="3"/>
    <x v="0"/>
    <x v="3"/>
    <x v="0"/>
    <x v="3"/>
    <d v="2023-01-13T00:00:00"/>
  </r>
  <r>
    <s v="T167"/>
    <s v="A167"/>
    <x v="0"/>
    <x v="0"/>
    <n v="1871.06"/>
    <x v="131"/>
    <s v="P035"/>
    <x v="4"/>
    <x v="3"/>
    <x v="0"/>
    <x v="1"/>
    <s v="A064"/>
    <x v="3"/>
    <x v="2"/>
    <x v="2"/>
    <x v="2"/>
    <x v="0"/>
    <x v="2"/>
    <d v="2023-05-31T00:00:00"/>
  </r>
  <r>
    <s v="T168"/>
    <s v="A168"/>
    <x v="4"/>
    <x v="2"/>
    <n v="864.14"/>
    <x v="132"/>
    <s v="P023"/>
    <x v="3"/>
    <x v="9"/>
    <x v="1"/>
    <x v="0"/>
    <s v="A039"/>
    <x v="4"/>
    <x v="3"/>
    <x v="2"/>
    <x v="6"/>
    <x v="0"/>
    <x v="0"/>
    <d v="2023-04-17T00:00:00"/>
  </r>
  <r>
    <s v="T169"/>
    <s v="A169"/>
    <x v="3"/>
    <x v="0"/>
    <n v="2313.41"/>
    <x v="133"/>
    <s v="P029"/>
    <x v="4"/>
    <x v="0"/>
    <x v="1"/>
    <x v="3"/>
    <s v="A012"/>
    <x v="4"/>
    <x v="3"/>
    <x v="0"/>
    <x v="3"/>
    <x v="0"/>
    <x v="3"/>
    <d v="2023-05-07T00:00:00"/>
  </r>
  <r>
    <s v="T170"/>
    <s v="A170"/>
    <x v="4"/>
    <x v="2"/>
    <n v="1280.8599999999999"/>
    <x v="134"/>
    <s v="P043"/>
    <x v="3"/>
    <x v="6"/>
    <x v="1"/>
    <x v="0"/>
    <s v="A067"/>
    <x v="4"/>
    <x v="1"/>
    <x v="5"/>
    <x v="8"/>
    <x v="2"/>
    <x v="0"/>
    <d v="2023-08-10T00:00:00"/>
  </r>
  <r>
    <s v="T171"/>
    <s v="A171"/>
    <x v="0"/>
    <x v="2"/>
    <n v="3627.28"/>
    <x v="32"/>
    <s v="P011"/>
    <x v="1"/>
    <x v="7"/>
    <x v="0"/>
    <x v="1"/>
    <s v="A099"/>
    <x v="3"/>
    <x v="4"/>
    <x v="2"/>
    <x v="4"/>
    <x v="1"/>
    <x v="3"/>
    <d v="2023-07-04T00:00:00"/>
  </r>
  <r>
    <s v="T172"/>
    <s v="A172"/>
    <x v="4"/>
    <x v="2"/>
    <n v="2057.4499999999998"/>
    <x v="54"/>
    <s v="P018"/>
    <x v="8"/>
    <x v="3"/>
    <x v="1"/>
    <x v="2"/>
    <s v="A114"/>
    <x v="0"/>
    <x v="1"/>
    <x v="5"/>
    <x v="8"/>
    <x v="2"/>
    <x v="3"/>
    <d v="2023-08-08T00:00:00"/>
  </r>
  <r>
    <s v="T173"/>
    <s v="A173"/>
    <x v="4"/>
    <x v="2"/>
    <n v="4890.25"/>
    <x v="135"/>
    <s v="P047"/>
    <x v="6"/>
    <x v="1"/>
    <x v="1"/>
    <x v="0"/>
    <s v="A023"/>
    <x v="4"/>
    <x v="0"/>
    <x v="0"/>
    <x v="0"/>
    <x v="0"/>
    <x v="2"/>
    <d v="2023-05-09T00:00:00"/>
  </r>
  <r>
    <s v="T174"/>
    <s v="A174"/>
    <x v="0"/>
    <x v="2"/>
    <n v="3384.37"/>
    <x v="136"/>
    <s v="P012"/>
    <x v="8"/>
    <x v="8"/>
    <x v="0"/>
    <x v="1"/>
    <s v="A014"/>
    <x v="2"/>
    <x v="5"/>
    <x v="3"/>
    <x v="5"/>
    <x v="1"/>
    <x v="2"/>
    <d v="2023-05-25T00:00:00"/>
  </r>
  <r>
    <s v="T175"/>
    <s v="A175"/>
    <x v="4"/>
    <x v="0"/>
    <n v="4201.16"/>
    <x v="137"/>
    <s v="P009"/>
    <x v="8"/>
    <x v="8"/>
    <x v="1"/>
    <x v="2"/>
    <s v="A107"/>
    <x v="4"/>
    <x v="4"/>
    <x v="2"/>
    <x v="4"/>
    <x v="1"/>
    <x v="3"/>
    <d v="2023-04-17T00:00:00"/>
  </r>
  <r>
    <s v="T176"/>
    <s v="A176"/>
    <x v="1"/>
    <x v="1"/>
    <n v="1096.3599999999999"/>
    <x v="138"/>
    <s v="P010"/>
    <x v="5"/>
    <x v="5"/>
    <x v="1"/>
    <x v="0"/>
    <s v="A040"/>
    <x v="0"/>
    <x v="0"/>
    <x v="0"/>
    <x v="0"/>
    <x v="0"/>
    <x v="3"/>
    <d v="2023-03-27T00:00:00"/>
  </r>
  <r>
    <s v="T177"/>
    <s v="A177"/>
    <x v="1"/>
    <x v="1"/>
    <n v="4379.07"/>
    <x v="12"/>
    <s v="P044"/>
    <x v="2"/>
    <x v="5"/>
    <x v="0"/>
    <x v="2"/>
    <s v="A076"/>
    <x v="0"/>
    <x v="3"/>
    <x v="2"/>
    <x v="6"/>
    <x v="0"/>
    <x v="2"/>
    <d v="2023-11-27T00:00:00"/>
  </r>
  <r>
    <s v="T178"/>
    <s v="A178"/>
    <x v="4"/>
    <x v="0"/>
    <n v="4652.41"/>
    <x v="139"/>
    <s v="P017"/>
    <x v="6"/>
    <x v="7"/>
    <x v="1"/>
    <x v="0"/>
    <s v="A086"/>
    <x v="1"/>
    <x v="3"/>
    <x v="2"/>
    <x v="6"/>
    <x v="0"/>
    <x v="2"/>
    <d v="2023-10-29T00:00:00"/>
  </r>
  <r>
    <s v="T179"/>
    <s v="A179"/>
    <x v="3"/>
    <x v="0"/>
    <n v="2691.78"/>
    <x v="140"/>
    <s v="P038"/>
    <x v="4"/>
    <x v="0"/>
    <x v="1"/>
    <x v="1"/>
    <s v="A179"/>
    <x v="3"/>
    <x v="2"/>
    <x v="2"/>
    <x v="2"/>
    <x v="0"/>
    <x v="3"/>
    <d v="2023-03-08T00:00:00"/>
  </r>
  <r>
    <s v="T180"/>
    <s v="A180"/>
    <x v="0"/>
    <x v="1"/>
    <n v="3228.14"/>
    <x v="141"/>
    <s v="P007"/>
    <x v="0"/>
    <x v="9"/>
    <x v="0"/>
    <x v="1"/>
    <s v="A095"/>
    <x v="0"/>
    <x v="0"/>
    <x v="0"/>
    <x v="0"/>
    <x v="0"/>
    <x v="2"/>
    <d v="2023-05-09T00:00:00"/>
  </r>
  <r>
    <s v="T181"/>
    <s v="A181"/>
    <x v="1"/>
    <x v="1"/>
    <n v="3941.64"/>
    <x v="142"/>
    <s v="P046"/>
    <x v="5"/>
    <x v="5"/>
    <x v="0"/>
    <x v="1"/>
    <s v="A026"/>
    <x v="4"/>
    <x v="2"/>
    <x v="2"/>
    <x v="2"/>
    <x v="0"/>
    <x v="2"/>
    <d v="2023-03-17T00:00:00"/>
  </r>
  <r>
    <s v="T182"/>
    <s v="A182"/>
    <x v="3"/>
    <x v="1"/>
    <n v="1286.77"/>
    <x v="143"/>
    <s v="P013"/>
    <x v="8"/>
    <x v="9"/>
    <x v="0"/>
    <x v="0"/>
    <s v="A078"/>
    <x v="1"/>
    <x v="5"/>
    <x v="4"/>
    <x v="7"/>
    <x v="2"/>
    <x v="1"/>
    <d v="2023-09-17T00:00:00"/>
  </r>
  <r>
    <s v="T183"/>
    <s v="A183"/>
    <x v="4"/>
    <x v="1"/>
    <n v="2761.55"/>
    <x v="144"/>
    <s v="P040"/>
    <x v="1"/>
    <x v="4"/>
    <x v="1"/>
    <x v="2"/>
    <s v="A005"/>
    <x v="2"/>
    <x v="3"/>
    <x v="0"/>
    <x v="3"/>
    <x v="0"/>
    <x v="1"/>
    <d v="2023-07-06T00:00:00"/>
  </r>
  <r>
    <s v="T184"/>
    <s v="A184"/>
    <x v="3"/>
    <x v="1"/>
    <n v="2293.98"/>
    <x v="145"/>
    <s v="P042"/>
    <x v="6"/>
    <x v="0"/>
    <x v="0"/>
    <x v="1"/>
    <s v="A162"/>
    <x v="2"/>
    <x v="1"/>
    <x v="1"/>
    <x v="1"/>
    <x v="0"/>
    <x v="1"/>
    <d v="2023-01-01T00:00:00"/>
  </r>
  <r>
    <s v="T185"/>
    <s v="A185"/>
    <x v="2"/>
    <x v="2"/>
    <n v="1158.68"/>
    <x v="39"/>
    <s v="P009"/>
    <x v="8"/>
    <x v="8"/>
    <x v="1"/>
    <x v="2"/>
    <s v="A107"/>
    <x v="4"/>
    <x v="4"/>
    <x v="2"/>
    <x v="4"/>
    <x v="1"/>
    <x v="3"/>
    <d v="2023-04-17T00:00:00"/>
  </r>
  <r>
    <s v="T186"/>
    <s v="A186"/>
    <x v="1"/>
    <x v="0"/>
    <n v="2153.9"/>
    <x v="37"/>
    <s v="P050"/>
    <x v="8"/>
    <x v="3"/>
    <x v="1"/>
    <x v="0"/>
    <s v="A063"/>
    <x v="4"/>
    <x v="1"/>
    <x v="1"/>
    <x v="1"/>
    <x v="0"/>
    <x v="0"/>
    <d v="2023-06-29T00:00:00"/>
  </r>
  <r>
    <s v="T187"/>
    <s v="A187"/>
    <x v="4"/>
    <x v="2"/>
    <n v="806.78"/>
    <x v="146"/>
    <s v="P027"/>
    <x v="3"/>
    <x v="1"/>
    <x v="0"/>
    <x v="3"/>
    <s v="A059"/>
    <x v="0"/>
    <x v="5"/>
    <x v="3"/>
    <x v="5"/>
    <x v="1"/>
    <x v="2"/>
    <d v="2023-03-09T00:00:00"/>
  </r>
  <r>
    <s v="T188"/>
    <s v="A188"/>
    <x v="0"/>
    <x v="1"/>
    <n v="616.15"/>
    <x v="143"/>
    <s v="P002"/>
    <x v="1"/>
    <x v="0"/>
    <x v="0"/>
    <x v="2"/>
    <s v="A055"/>
    <x v="3"/>
    <x v="5"/>
    <x v="3"/>
    <x v="5"/>
    <x v="1"/>
    <x v="0"/>
    <d v="2023-10-06T00:00:00"/>
  </r>
  <r>
    <s v="T189"/>
    <s v="A189"/>
    <x v="4"/>
    <x v="1"/>
    <n v="1108.25"/>
    <x v="147"/>
    <s v="P005"/>
    <x v="4"/>
    <x v="3"/>
    <x v="1"/>
    <x v="1"/>
    <s v="A010"/>
    <x v="0"/>
    <x v="3"/>
    <x v="0"/>
    <x v="3"/>
    <x v="0"/>
    <x v="3"/>
    <d v="2023-01-13T00:00:00"/>
  </r>
  <r>
    <s v="T190"/>
    <s v="A190"/>
    <x v="0"/>
    <x v="1"/>
    <n v="4834.0200000000004"/>
    <x v="148"/>
    <s v="P029"/>
    <x v="4"/>
    <x v="0"/>
    <x v="1"/>
    <x v="3"/>
    <s v="A012"/>
    <x v="4"/>
    <x v="3"/>
    <x v="0"/>
    <x v="3"/>
    <x v="0"/>
    <x v="3"/>
    <d v="2023-05-07T00:00:00"/>
  </r>
  <r>
    <s v="T191"/>
    <s v="A191"/>
    <x v="4"/>
    <x v="2"/>
    <n v="2972.88"/>
    <x v="143"/>
    <s v="P037"/>
    <x v="2"/>
    <x v="4"/>
    <x v="1"/>
    <x v="3"/>
    <s v="A017"/>
    <x v="2"/>
    <x v="0"/>
    <x v="0"/>
    <x v="0"/>
    <x v="0"/>
    <x v="0"/>
    <d v="2023-07-11T00:00:00"/>
  </r>
  <r>
    <s v="T192"/>
    <s v="A192"/>
    <x v="3"/>
    <x v="2"/>
    <n v="4846.2"/>
    <x v="149"/>
    <s v="P038"/>
    <x v="4"/>
    <x v="0"/>
    <x v="1"/>
    <x v="1"/>
    <s v="A179"/>
    <x v="3"/>
    <x v="2"/>
    <x v="2"/>
    <x v="2"/>
    <x v="0"/>
    <x v="3"/>
    <d v="2023-03-08T00:00:00"/>
  </r>
  <r>
    <s v="T193"/>
    <s v="A193"/>
    <x v="3"/>
    <x v="1"/>
    <n v="2446.2399999999998"/>
    <x v="150"/>
    <s v="P019"/>
    <x v="9"/>
    <x v="2"/>
    <x v="1"/>
    <x v="0"/>
    <s v="A046"/>
    <x v="1"/>
    <x v="3"/>
    <x v="0"/>
    <x v="3"/>
    <x v="0"/>
    <x v="2"/>
    <d v="2023-12-20T00:00:00"/>
  </r>
  <r>
    <s v="T194"/>
    <s v="A194"/>
    <x v="3"/>
    <x v="2"/>
    <n v="1903.17"/>
    <x v="151"/>
    <s v="P008"/>
    <x v="4"/>
    <x v="8"/>
    <x v="0"/>
    <x v="0"/>
    <s v="A088"/>
    <x v="3"/>
    <x v="0"/>
    <x v="5"/>
    <x v="9"/>
    <x v="2"/>
    <x v="3"/>
    <d v="2023-05-02T00:00:00"/>
  </r>
  <r>
    <s v="T195"/>
    <s v="A195"/>
    <x v="2"/>
    <x v="2"/>
    <n v="2777.64"/>
    <x v="152"/>
    <s v="P048"/>
    <x v="1"/>
    <x v="2"/>
    <x v="1"/>
    <x v="2"/>
    <s v="A003"/>
    <x v="1"/>
    <x v="1"/>
    <x v="1"/>
    <x v="1"/>
    <x v="0"/>
    <x v="2"/>
    <d v="2023-06-28T00:00:00"/>
  </r>
  <r>
    <s v="T196"/>
    <s v="A196"/>
    <x v="0"/>
    <x v="1"/>
    <n v="2477.8000000000002"/>
    <x v="153"/>
    <s v="P045"/>
    <x v="3"/>
    <x v="2"/>
    <x v="0"/>
    <x v="1"/>
    <s v="A006"/>
    <x v="3"/>
    <x v="2"/>
    <x v="2"/>
    <x v="2"/>
    <x v="0"/>
    <x v="0"/>
    <d v="2023-06-19T00:00:00"/>
  </r>
  <r>
    <s v="T197"/>
    <s v="A197"/>
    <x v="3"/>
    <x v="2"/>
    <n v="975.49"/>
    <x v="154"/>
    <s v="P001"/>
    <x v="4"/>
    <x v="4"/>
    <x v="0"/>
    <x v="0"/>
    <s v="A007"/>
    <x v="1"/>
    <x v="4"/>
    <x v="2"/>
    <x v="4"/>
    <x v="1"/>
    <x v="0"/>
    <d v="2023-04-09T00:00:00"/>
  </r>
  <r>
    <s v="T198"/>
    <s v="A198"/>
    <x v="2"/>
    <x v="0"/>
    <n v="3383.72"/>
    <x v="155"/>
    <s v="P022"/>
    <x v="7"/>
    <x v="6"/>
    <x v="1"/>
    <x v="1"/>
    <s v="A011"/>
    <x v="3"/>
    <x v="4"/>
    <x v="2"/>
    <x v="4"/>
    <x v="1"/>
    <x v="1"/>
    <d v="2023-11-12T00:00:00"/>
  </r>
  <r>
    <s v="T199"/>
    <s v="A199"/>
    <x v="0"/>
    <x v="0"/>
    <n v="1472.17"/>
    <x v="156"/>
    <s v="P017"/>
    <x v="6"/>
    <x v="7"/>
    <x v="1"/>
    <x v="0"/>
    <s v="A086"/>
    <x v="1"/>
    <x v="3"/>
    <x v="2"/>
    <x v="6"/>
    <x v="0"/>
    <x v="2"/>
    <d v="2023-10-29T00:00:00"/>
  </r>
  <r>
    <s v="T200"/>
    <s v="A200"/>
    <x v="4"/>
    <x v="0"/>
    <n v="3288.15"/>
    <x v="157"/>
    <s v="P007"/>
    <x v="0"/>
    <x v="9"/>
    <x v="0"/>
    <x v="1"/>
    <s v="A095"/>
    <x v="0"/>
    <x v="0"/>
    <x v="0"/>
    <x v="0"/>
    <x v="0"/>
    <x v="2"/>
    <d v="2023-05-09T00:00:00"/>
  </r>
  <r>
    <m/>
    <m/>
    <x v="5"/>
    <x v="3"/>
    <m/>
    <x v="158"/>
    <m/>
    <x v="10"/>
    <x v="10"/>
    <x v="2"/>
    <x v="4"/>
    <m/>
    <x v="5"/>
    <x v="6"/>
    <x v="6"/>
    <x v="10"/>
    <x v="3"/>
    <x v="4"/>
    <m/>
  </r>
  <r>
    <m/>
    <m/>
    <x v="5"/>
    <x v="3"/>
    <m/>
    <x v="158"/>
    <m/>
    <x v="10"/>
    <x v="10"/>
    <x v="2"/>
    <x v="4"/>
    <m/>
    <x v="5"/>
    <x v="6"/>
    <x v="6"/>
    <x v="10"/>
    <x v="3"/>
    <x v="4"/>
    <m/>
  </r>
  <r>
    <m/>
    <m/>
    <x v="5"/>
    <x v="3"/>
    <m/>
    <x v="158"/>
    <m/>
    <x v="10"/>
    <x v="10"/>
    <x v="2"/>
    <x v="4"/>
    <m/>
    <x v="5"/>
    <x v="6"/>
    <x v="6"/>
    <x v="10"/>
    <x v="3"/>
    <x v="4"/>
    <m/>
  </r>
  <r>
    <m/>
    <m/>
    <x v="5"/>
    <x v="3"/>
    <m/>
    <x v="158"/>
    <m/>
    <x v="10"/>
    <x v="10"/>
    <x v="2"/>
    <x v="4"/>
    <m/>
    <x v="5"/>
    <x v="6"/>
    <x v="6"/>
    <x v="10"/>
    <x v="3"/>
    <x v="4"/>
    <m/>
  </r>
  <r>
    <m/>
    <m/>
    <x v="5"/>
    <x v="3"/>
    <m/>
    <x v="158"/>
    <m/>
    <x v="10"/>
    <x v="10"/>
    <x v="2"/>
    <x v="4"/>
    <m/>
    <x v="5"/>
    <x v="6"/>
    <x v="6"/>
    <x v="10"/>
    <x v="3"/>
    <x v="4"/>
    <m/>
  </r>
  <r>
    <m/>
    <m/>
    <x v="5"/>
    <x v="3"/>
    <m/>
    <x v="158"/>
    <m/>
    <x v="10"/>
    <x v="10"/>
    <x v="2"/>
    <x v="4"/>
    <m/>
    <x v="5"/>
    <x v="6"/>
    <x v="6"/>
    <x v="10"/>
    <x v="3"/>
    <x v="4"/>
    <m/>
  </r>
  <r>
    <m/>
    <m/>
    <x v="5"/>
    <x v="3"/>
    <m/>
    <x v="158"/>
    <m/>
    <x v="10"/>
    <x v="10"/>
    <x v="2"/>
    <x v="4"/>
    <m/>
    <x v="5"/>
    <x v="6"/>
    <x v="6"/>
    <x v="10"/>
    <x v="3"/>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5" firstHeaderRow="1" firstDataRow="1" firstDataCol="1"/>
  <pivotFields count="20">
    <pivotField showAll="0"/>
    <pivotField showAll="0"/>
    <pivotField showAll="0"/>
    <pivotField showAll="0">
      <items count="5">
        <item x="1"/>
        <item x="0"/>
        <item x="2"/>
        <item h="1"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12">
        <item h="1" x="0"/>
        <item h="1" x="4"/>
        <item h="1" x="1"/>
        <item h="1" x="6"/>
        <item h="1" x="7"/>
        <item h="1" x="8"/>
        <item x="3"/>
        <item h="1" x="5"/>
        <item h="1" x="2"/>
        <item h="1" x="9"/>
        <item h="1" x="10"/>
        <item t="default"/>
      </items>
    </pivotField>
    <pivotField showAll="0">
      <items count="12">
        <item h="1" x="6"/>
        <item x="8"/>
        <item h="1" x="9"/>
        <item h="1" x="7"/>
        <item h="1" x="2"/>
        <item h="1" x="1"/>
        <item h="1" x="0"/>
        <item h="1" x="5"/>
        <item h="1" x="4"/>
        <item h="1" x="3"/>
        <item h="1" x="10"/>
        <item t="default"/>
      </items>
    </pivotField>
    <pivotField showAll="0">
      <items count="4">
        <item x="0"/>
        <item h="1" x="1"/>
        <item x="2"/>
        <item t="default"/>
      </items>
    </pivotField>
    <pivotField showAll="0">
      <items count="6">
        <item h="1" x="3"/>
        <item h="1" x="1"/>
        <item x="2"/>
        <item h="1" x="0"/>
        <item x="4"/>
        <item t="default"/>
      </items>
    </pivotField>
    <pivotField showAll="0"/>
    <pivotField showAll="0">
      <items count="7">
        <item x="3"/>
        <item x="1"/>
        <item x="2"/>
        <item x="4"/>
        <item x="0"/>
        <item h="1" x="5"/>
        <item t="default"/>
      </items>
    </pivotField>
    <pivotField showAll="0"/>
    <pivotField showAll="0"/>
    <pivotField showAll="0"/>
    <pivotField showAll="0"/>
    <pivotField axis="axisRow" showAll="0">
      <items count="6">
        <item x="2"/>
        <item x="3"/>
        <item x="1"/>
        <item x="0"/>
        <item x="4"/>
        <item t="default"/>
      </items>
    </pivotField>
    <pivotField showAll="0"/>
    <pivotField showAll="0" defaultSubtotal="0"/>
  </pivotFields>
  <rowFields count="1">
    <field x="17"/>
  </rowFields>
  <rowItems count="2">
    <i>
      <x v="3"/>
    </i>
    <i t="grand">
      <x/>
    </i>
  </rowItems>
  <colItems count="1">
    <i/>
  </colItems>
  <dataFields count="1">
    <dataField name="Count of  Patient Id" fld="6"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83" name="treatment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5" firstHeaderRow="1" firstDataRow="1" firstDataCol="1"/>
  <pivotFields count="20">
    <pivotField showAll="0"/>
    <pivotField showAll="0"/>
    <pivotField showAll="0"/>
    <pivotField showAll="0">
      <items count="5">
        <item x="1"/>
        <item x="0"/>
        <item x="2"/>
        <item h="1"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12">
        <item h="1" x="0"/>
        <item h="1" x="4"/>
        <item h="1" x="1"/>
        <item h="1" x="6"/>
        <item h="1" x="7"/>
        <item h="1" x="8"/>
        <item x="3"/>
        <item h="1" x="5"/>
        <item h="1" x="2"/>
        <item h="1" x="9"/>
        <item h="1" x="10"/>
        <item t="default"/>
      </items>
    </pivotField>
    <pivotField showAll="0">
      <items count="12">
        <item h="1" x="6"/>
        <item x="8"/>
        <item h="1" x="9"/>
        <item h="1" x="7"/>
        <item h="1" x="2"/>
        <item h="1" x="1"/>
        <item h="1" x="0"/>
        <item h="1" x="5"/>
        <item h="1" x="4"/>
        <item h="1" x="3"/>
        <item h="1" x="10"/>
        <item t="default"/>
      </items>
    </pivotField>
    <pivotField showAll="0">
      <items count="4">
        <item x="0"/>
        <item h="1" x="1"/>
        <item x="2"/>
        <item t="default"/>
      </items>
    </pivotField>
    <pivotField showAll="0">
      <items count="6">
        <item h="1" x="3"/>
        <item h="1" x="1"/>
        <item x="2"/>
        <item h="1" x="0"/>
        <item x="4"/>
        <item t="default"/>
      </items>
    </pivotField>
    <pivotField showAll="0"/>
    <pivotField showAll="0">
      <items count="7">
        <item x="3"/>
        <item x="1"/>
        <item x="2"/>
        <item x="4"/>
        <item x="0"/>
        <item h="1" x="5"/>
        <item t="default"/>
      </items>
    </pivotField>
    <pivotField axis="axisRow" showAll="0" sortType="descending">
      <items count="8">
        <item x="2"/>
        <item x="1"/>
        <item x="3"/>
        <item x="5"/>
        <item x="4"/>
        <item x="0"/>
        <item h="1" x="6"/>
        <item t="default"/>
      </items>
      <autoSortScope>
        <pivotArea dataOnly="0" outline="0" fieldPosition="0">
          <references count="1">
            <reference field="4294967294" count="1" selected="0">
              <x v="0"/>
            </reference>
          </references>
        </pivotArea>
      </autoSortScope>
    </pivotField>
    <pivotField showAll="0">
      <items count="8">
        <item x="4"/>
        <item x="2"/>
        <item x="1"/>
        <item x="0"/>
        <item x="5"/>
        <item x="3"/>
        <item x="6"/>
        <item t="default"/>
      </items>
    </pivotField>
    <pivotField showAll="0">
      <items count="12">
        <item x="10"/>
        <item x="8"/>
        <item x="6"/>
        <item x="3"/>
        <item x="1"/>
        <item x="9"/>
        <item x="2"/>
        <item x="4"/>
        <item x="7"/>
        <item x="0"/>
        <item x="5"/>
        <item t="default"/>
      </items>
    </pivotField>
    <pivotField showAll="0"/>
    <pivotField showAll="0"/>
    <pivotField showAll="0"/>
    <pivotField showAll="0" defaultSubtotal="0"/>
  </pivotFields>
  <rowFields count="1">
    <field x="13"/>
  </rowFields>
  <rowItems count="2">
    <i>
      <x v="3"/>
    </i>
    <i t="grand">
      <x/>
    </i>
  </rowItems>
  <colItems count="1">
    <i/>
  </colItems>
  <dataFields count="1">
    <dataField name="Count of  Patient Id" fld="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71" name="treatment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9F973C-EA3F-4C8A-855C-F7346D27E7A1}"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6" firstHeaderRow="1" firstDataRow="1" firstDataCol="1"/>
  <pivotFields count="20">
    <pivotField showAll="0"/>
    <pivotField showAll="0"/>
    <pivotField axis="axisRow" showAll="0">
      <items count="7">
        <item x="0"/>
        <item x="2"/>
        <item x="1"/>
        <item x="3"/>
        <item x="4"/>
        <item h="1" x="5"/>
        <item t="default"/>
      </items>
    </pivotField>
    <pivotField showAll="0">
      <items count="5">
        <item x="1"/>
        <item x="0"/>
        <item x="2"/>
        <item h="1" x="3"/>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4">
        <item x="0"/>
        <item h="1" x="1"/>
        <item x="2"/>
        <item t="default"/>
      </items>
    </pivotField>
    <pivotField showAll="0">
      <items count="6">
        <item h="1" x="3"/>
        <item h="1" x="1"/>
        <item x="2"/>
        <item h="1" x="0"/>
        <item x="4"/>
        <item t="default"/>
      </items>
    </pivotField>
    <pivotField showAll="0"/>
    <pivotField showAll="0"/>
    <pivotField showAll="0"/>
    <pivotField showAll="0"/>
    <pivotField showAll="0"/>
    <pivotField showAll="0"/>
    <pivotField showAll="0"/>
    <pivotField showAll="0"/>
    <pivotField showAll="0" defaultSubtotal="0"/>
  </pivotFields>
  <rowFields count="1">
    <field x="2"/>
  </rowFields>
  <rowItems count="3">
    <i>
      <x v="3"/>
    </i>
    <i>
      <x v="4"/>
    </i>
    <i t="grand">
      <x/>
    </i>
  </rowItems>
  <colItems count="1">
    <i/>
  </colItems>
  <dataFields count="1">
    <dataField name="Sum of cost" fld="4" baseField="0" baseItem="0"/>
  </dataFields>
  <chartFormats count="3">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50" name="treatment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E21289-C38A-4B07-A1E0-386611CDD208}"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5" firstHeaderRow="1" firstDataRow="1" firstDataCol="1"/>
  <pivotFields count="20">
    <pivotField dataField="1" showAll="0"/>
    <pivotField showAll="0"/>
    <pivotField showAll="0"/>
    <pivotField showAll="0">
      <items count="5">
        <item x="1"/>
        <item x="0"/>
        <item x="2"/>
        <item h="1"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4">
        <item x="0"/>
        <item h="1" x="1"/>
        <item x="2"/>
        <item t="default"/>
      </items>
    </pivotField>
    <pivotField showAll="0">
      <items count="6">
        <item h="1" x="3"/>
        <item h="1" x="1"/>
        <item x="2"/>
        <item h="1" x="0"/>
        <item x="4"/>
        <item t="default"/>
      </items>
    </pivotField>
    <pivotField showAll="0"/>
    <pivotField axis="axisRow" showAll="0">
      <items count="7">
        <item x="3"/>
        <item x="1"/>
        <item x="2"/>
        <item x="4"/>
        <item x="0"/>
        <item x="5"/>
        <item t="default"/>
      </items>
    </pivotField>
    <pivotField showAll="0"/>
    <pivotField showAll="0"/>
    <pivotField showAll="0"/>
    <pivotField showAll="0"/>
    <pivotField showAll="0"/>
    <pivotField showAll="0"/>
    <pivotField showAll="0" defaultSubtotal="0"/>
  </pivotFields>
  <rowFields count="1">
    <field x="12"/>
  </rowFields>
  <rowItems count="2">
    <i>
      <x v="3"/>
    </i>
    <i t="grand">
      <x/>
    </i>
  </rowItems>
  <colItems count="1">
    <i/>
  </colItems>
  <dataFields count="1">
    <dataField name="Count of treatment_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 chart="2" format="12">
      <pivotArea type="data" outline="0" fieldPosition="0">
        <references count="2">
          <reference field="4294967294" count="1" selected="0">
            <x v="0"/>
          </reference>
          <reference field="12" count="1" selected="0">
            <x v="3"/>
          </reference>
        </references>
      </pivotArea>
    </chartFormat>
    <chartFormat chart="2" format="13">
      <pivotArea type="data" outline="0" fieldPosition="0">
        <references count="2">
          <reference field="4294967294" count="1" selected="0">
            <x v="0"/>
          </reference>
          <reference field="12" count="1" selected="0">
            <x v="4"/>
          </reference>
        </references>
      </pivotArea>
    </chartFormat>
    <chartFormat chart="2" format="14">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filters count="1">
    <filter fld="5" type="dateBetween" evalOrder="-1" id="43" name="treatment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5" firstHeaderRow="1" firstDataRow="1" firstDataCol="1"/>
  <pivotFields count="20">
    <pivotField showAll="0"/>
    <pivotField dataField="1" showAll="0"/>
    <pivotField showAll="0"/>
    <pivotField showAll="0">
      <items count="5">
        <item x="1"/>
        <item x="0"/>
        <item x="2"/>
        <item h="1"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2">
        <item h="1" x="0"/>
        <item h="1" x="4"/>
        <item h="1" x="1"/>
        <item h="1" x="6"/>
        <item h="1" x="7"/>
        <item h="1" x="8"/>
        <item x="3"/>
        <item h="1" x="5"/>
        <item h="1" x="2"/>
        <item h="1" x="9"/>
        <item h="1" x="10"/>
        <item t="default"/>
      </items>
    </pivotField>
    <pivotField showAll="0">
      <items count="12">
        <item h="1" x="6"/>
        <item x="8"/>
        <item h="1" x="9"/>
        <item h="1" x="7"/>
        <item h="1" x="2"/>
        <item h="1" x="1"/>
        <item h="1" x="0"/>
        <item h="1" x="5"/>
        <item h="1" x="4"/>
        <item h="1" x="3"/>
        <item h="1" x="10"/>
        <item t="default"/>
      </items>
    </pivotField>
    <pivotField showAll="0">
      <items count="4">
        <item x="0"/>
        <item h="1" x="1"/>
        <item x="2"/>
        <item t="default"/>
      </items>
    </pivotField>
    <pivotField showAll="0">
      <items count="6">
        <item h="1" x="3"/>
        <item h="1" x="1"/>
        <item x="2"/>
        <item h="1" x="0"/>
        <item x="4"/>
        <item t="default"/>
      </items>
    </pivotField>
    <pivotField showAll="0"/>
    <pivotField showAll="0">
      <items count="7">
        <item x="3"/>
        <item x="1"/>
        <item x="2"/>
        <item x="4"/>
        <item x="0"/>
        <item h="1" x="5"/>
        <item t="default"/>
      </items>
    </pivotField>
    <pivotField showAll="0"/>
    <pivotField showAll="0"/>
    <pivotField showAll="0"/>
    <pivotField axis="axisRow" showAll="0">
      <items count="5">
        <item x="2"/>
        <item x="1"/>
        <item x="0"/>
        <item h="1" x="3"/>
        <item t="default"/>
      </items>
    </pivotField>
    <pivotField showAll="0"/>
    <pivotField showAll="0"/>
    <pivotField showAll="0" defaultSubtotal="0"/>
  </pivotFields>
  <rowFields count="1">
    <field x="16"/>
  </rowFields>
  <rowItems count="2">
    <i>
      <x v="1"/>
    </i>
    <i t="grand">
      <x/>
    </i>
  </rowItems>
  <colItems count="1">
    <i/>
  </colItems>
  <dataFields count="1">
    <dataField name="Count of appointment_i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71" name="treatment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58869E-7A64-4EED-8495-1193D17E09BB}" sourceName="Gender ">
  <pivotTables>
    <pivotTable tabId="8" name="PivotTable2"/>
    <pivotTable tabId="9" name="PivotTable4"/>
    <pivotTable tabId="4" name="PivotTable3"/>
    <pivotTable tabId="5" name="PivotTable4"/>
    <pivotTable tabId="6" name="PivotTable5"/>
  </pivotTables>
  <data>
    <tabular pivotCacheId="929426245">
      <items count="3">
        <i x="0" s="1"/>
        <i x="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arance1" xr10:uid="{5738D8A5-043E-4F77-81A8-85257B72B814}" sourceName="Insuarance">
  <pivotTables>
    <pivotTable tabId="8" name="PivotTable2"/>
    <pivotTable tabId="4" name="PivotTable3"/>
    <pivotTable tabId="9" name="PivotTable4"/>
    <pivotTable tabId="5" name="PivotTable4"/>
    <pivotTable tabId="6" name="PivotTable5"/>
  </pivotTables>
  <data>
    <tabular pivotCacheId="929426245">
      <items count="5">
        <i x="3"/>
        <i x="1"/>
        <i x="2" s="1"/>
        <i x="0"/>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FF5DDF45-C29D-41C2-9FC7-24F9C0EF8355}" sourceName="description">
  <pivotTables>
    <pivotTable tabId="8" name="PivotTable2"/>
    <pivotTable tabId="9" name="PivotTable4"/>
    <pivotTable tabId="4" name="PivotTable3"/>
    <pivotTable tabId="5" name="PivotTable4"/>
    <pivotTable tabId="6" name="PivotTable5"/>
  </pivotTables>
  <data>
    <tabular pivotCacheId="929426245">
      <items count="4">
        <i x="1" s="1"/>
        <i x="0"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 xr10:uid="{03931CFA-A1B6-4392-AEC1-DC113BF36C39}" cache="Slicer_Gender" caption="Gender " columnCount="2" style="SlicerStyleLight6" rowHeight="241300"/>
  <slicer name="Insuarance" xr10:uid="{33159A0E-CB04-4DD6-8ED5-2B3DF0389BC6}" cache="Slicer_Insuarance1" caption="Insuarance" style="SlicerStyleLight6" rowHeight="241300"/>
  <slicer name="description" xr10:uid="{BA3A7C48-55A8-4C44-BBE5-A308A474191C}" cache="Slicer_description" caption="description" columnCount="3"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4E69C9C-9EFA-46CA-92E8-0D19090B9FD3}" cache="Slicer_Gender" caption="Gender " columnCount="2" style="SlicerStyleLight6" rowHeight="241300"/>
  <slicer name="Insuarance 1" xr10:uid="{BAEB8E44-F8D3-49AF-AE30-F7B397F82D2C}" cache="Slicer_Insuarance1" caption="Insuarance" style="SlicerStyleLight6" rowHeight="241300"/>
  <slicer name="description 1" xr10:uid="{6067FA6F-CB86-46EE-819E-00AD35C52504}" cache="Slicer_description" caption="description" columnCount="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management_table" displayName="management_table" ref="A1:S208" totalsRowShown="0">
  <autoFilter ref="A1:S208" xr:uid="{00000000-0009-0000-0100-000004000000}"/>
  <tableColumns count="19">
    <tableColumn id="1" xr3:uid="{00000000-0010-0000-0000-000001000000}" name="treatment_id"/>
    <tableColumn id="2" xr3:uid="{00000000-0010-0000-0000-000002000000}" name="appointment_id"/>
    <tableColumn id="3" xr3:uid="{00000000-0010-0000-0000-000003000000}" name="treatment_type"/>
    <tableColumn id="4" xr3:uid="{00000000-0010-0000-0000-000004000000}" name="description"/>
    <tableColumn id="5" xr3:uid="{00000000-0010-0000-0000-000005000000}" name="cost"/>
    <tableColumn id="6" xr3:uid="{00000000-0010-0000-0000-000006000000}" name="treatment_date"/>
    <tableColumn id="7" xr3:uid="{00000000-0010-0000-0000-000007000000}" name=" Patient Id"/>
    <tableColumn id="8" xr3:uid="{00000000-0010-0000-0000-000008000000}" name="Patient Name"/>
    <tableColumn id="9" xr3:uid="{00000000-0010-0000-0000-000009000000}" name="second "/>
    <tableColumn id="10" xr3:uid="{00000000-0010-0000-0000-00000A000000}" name="Gender "/>
    <tableColumn id="11" xr3:uid="{00000000-0010-0000-0000-00000B000000}" name="Insuarance"/>
    <tableColumn id="12" xr3:uid="{00000000-0010-0000-0000-00000C000000}" name="Appointment id"/>
    <tableColumn id="13" xr3:uid="{00000000-0010-0000-0000-00000D000000}" name="reason for visit"/>
    <tableColumn id="14" xr3:uid="{00000000-0010-0000-0000-00000E000000}" name="Doctor Name"/>
    <tableColumn id="15" xr3:uid="{00000000-0010-0000-0000-00000F000000}" name="second"/>
    <tableColumn id="16" xr3:uid="{00000000-0010-0000-0000-000010000000}" name="Doctor Id"/>
    <tableColumn id="17" xr3:uid="{00000000-0010-0000-0000-000011000000}" name="specialization"/>
    <tableColumn id="18" xr3:uid="{00000000-0010-0000-0000-000012000000}" name="status"/>
    <tableColumn id="19" xr3:uid="{00000000-0010-0000-0000-000013000000}" name="Appointment date" dataDxfId="0">
      <calculatedColumnFormula>_xlfn.XLOOKUP(management_table[[#This Row],[ Patient Id]],[1]appointments!$B$1:$B$201,[1]appointments!$D$1:$D$201,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eatment_date1" xr10:uid="{7D711B5C-76F3-4178-9A33-FB745E062A41}" sourceName="treatment_date">
  <pivotTables>
    <pivotTable tabId="8" name="PivotTable2"/>
    <pivotTable tabId="9" name="PivotTable4"/>
    <pivotTable tabId="4" name="PivotTable3"/>
    <pivotTable tabId="5" name="PivotTable4"/>
    <pivotTable tabId="6" name="PivotTable5"/>
  </pivotTables>
  <state minimalRefreshVersion="6" lastRefreshVersion="6" pivotCacheId="929426245" filterType="dateBetween">
    <selection startDate="2023-06-01T00:00:00" endDate="2023-06-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eatment_date" xr10:uid="{6FF28644-8CFA-4E98-BE0F-0E16E8D2B66F}" cache="NativeTimeline_treatment_date1" caption="treatment_date" level="2" selectionLevel="2" scrollPosition="2023-06-07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eatment_date 1" xr10:uid="{527D55C7-ED2E-4BAD-A722-F473F1BA92EB}" cache="NativeTimeline_treatment_date1" caption="treatment_date" level="2" selectionLevel="2" scrollPosition="2023-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5"/>
  <sheetViews>
    <sheetView workbookViewId="0">
      <selection activeCell="M8" sqref="M8"/>
    </sheetView>
  </sheetViews>
  <sheetFormatPr defaultRowHeight="14.5" x14ac:dyDescent="0.35"/>
  <cols>
    <col min="1" max="1" width="12.36328125" bestFit="1" customWidth="1"/>
    <col min="2" max="2" width="17.36328125" bestFit="1" customWidth="1"/>
    <col min="3" max="3" width="5.54296875" bestFit="1" customWidth="1"/>
    <col min="4" max="4" width="5.26953125" bestFit="1" customWidth="1"/>
    <col min="5" max="5" width="4.54296875" bestFit="1" customWidth="1"/>
    <col min="6" max="6" width="4.7265625" bestFit="1" customWidth="1"/>
    <col min="7" max="7" width="5.453125" bestFit="1" customWidth="1"/>
    <col min="8" max="8" width="5.26953125" bestFit="1" customWidth="1"/>
    <col min="9" max="9" width="7.36328125" bestFit="1" customWidth="1"/>
    <col min="10" max="10" width="6.54296875" bestFit="1" customWidth="1"/>
    <col min="11" max="11" width="5.54296875" bestFit="1" customWidth="1"/>
    <col min="12" max="12" width="6.7265625" bestFit="1" customWidth="1"/>
    <col min="13" max="13" width="10.7265625" bestFit="1" customWidth="1"/>
  </cols>
  <sheetData>
    <row r="3" spans="1:2" x14ac:dyDescent="0.35">
      <c r="A3" s="2" t="s">
        <v>429</v>
      </c>
      <c r="B3" t="s">
        <v>431</v>
      </c>
    </row>
    <row r="4" spans="1:2" x14ac:dyDescent="0.35">
      <c r="A4" s="3" t="s">
        <v>436</v>
      </c>
      <c r="B4" s="4">
        <v>2</v>
      </c>
    </row>
    <row r="5" spans="1:2" x14ac:dyDescent="0.35">
      <c r="A5" s="3" t="s">
        <v>430</v>
      </c>
      <c r="B5" s="4">
        <v>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5"/>
  <sheetViews>
    <sheetView topLeftCell="A3" workbookViewId="0">
      <selection activeCell="K13" sqref="K13"/>
    </sheetView>
  </sheetViews>
  <sheetFormatPr defaultRowHeight="14.5" x14ac:dyDescent="0.35"/>
  <cols>
    <col min="1" max="1" width="12.36328125" bestFit="1" customWidth="1"/>
    <col min="2" max="2" width="17.36328125" bestFit="1" customWidth="1"/>
  </cols>
  <sheetData>
    <row r="3" spans="1:2" x14ac:dyDescent="0.35">
      <c r="A3" s="2" t="s">
        <v>429</v>
      </c>
      <c r="B3" t="s">
        <v>431</v>
      </c>
    </row>
    <row r="4" spans="1:2" x14ac:dyDescent="0.35">
      <c r="A4" s="3" t="s">
        <v>432</v>
      </c>
      <c r="B4" s="4">
        <v>2</v>
      </c>
    </row>
    <row r="5" spans="1:2" x14ac:dyDescent="0.35">
      <c r="A5" s="3" t="s">
        <v>430</v>
      </c>
      <c r="B5" s="4">
        <v>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D6D12-3494-42F2-BB25-8D1C1EAE4BE8}">
  <dimension ref="A3:B6"/>
  <sheetViews>
    <sheetView workbookViewId="0">
      <selection activeCell="N13" sqref="N13"/>
    </sheetView>
  </sheetViews>
  <sheetFormatPr defaultRowHeight="14.5" x14ac:dyDescent="0.35"/>
  <cols>
    <col min="1" max="1" width="12.6328125" bestFit="1" customWidth="1"/>
    <col min="2" max="2" width="10.54296875" bestFit="1" customWidth="1"/>
  </cols>
  <sheetData>
    <row r="3" spans="1:2" x14ac:dyDescent="0.35">
      <c r="A3" s="2" t="s">
        <v>429</v>
      </c>
      <c r="B3" t="s">
        <v>433</v>
      </c>
    </row>
    <row r="4" spans="1:2" x14ac:dyDescent="0.35">
      <c r="A4" s="3" t="s">
        <v>28</v>
      </c>
      <c r="B4" s="4">
        <v>3052.9</v>
      </c>
    </row>
    <row r="5" spans="1:2" x14ac:dyDescent="0.35">
      <c r="A5" s="3" t="s">
        <v>51</v>
      </c>
      <c r="B5" s="4">
        <v>4450.88</v>
      </c>
    </row>
    <row r="6" spans="1:2" x14ac:dyDescent="0.35">
      <c r="A6" s="3" t="s">
        <v>430</v>
      </c>
      <c r="B6" s="4">
        <v>7503.7800000000007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5224B-14E7-4407-96CD-806ED7A58768}">
  <dimension ref="A3:B5"/>
  <sheetViews>
    <sheetView topLeftCell="A4" workbookViewId="0">
      <selection activeCell="D21" sqref="D21:D22"/>
    </sheetView>
  </sheetViews>
  <sheetFormatPr defaultRowHeight="14.5" x14ac:dyDescent="0.35"/>
  <cols>
    <col min="1" max="1" width="12.36328125" bestFit="1" customWidth="1"/>
    <col min="2" max="2" width="19.90625" bestFit="1" customWidth="1"/>
  </cols>
  <sheetData>
    <row r="3" spans="1:2" x14ac:dyDescent="0.35">
      <c r="A3" s="2" t="s">
        <v>429</v>
      </c>
      <c r="B3" t="s">
        <v>435</v>
      </c>
    </row>
    <row r="4" spans="1:2" x14ac:dyDescent="0.35">
      <c r="A4" s="3" t="s">
        <v>434</v>
      </c>
      <c r="B4" s="4">
        <v>2</v>
      </c>
    </row>
    <row r="5" spans="1:2" x14ac:dyDescent="0.35">
      <c r="A5" s="3" t="s">
        <v>430</v>
      </c>
      <c r="B5" s="4">
        <v>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08"/>
  <sheetViews>
    <sheetView topLeftCell="A2" zoomScale="70" zoomScaleNormal="70" workbookViewId="0">
      <selection activeCell="S208" sqref="S202:S208"/>
    </sheetView>
  </sheetViews>
  <sheetFormatPr defaultRowHeight="14.5" x14ac:dyDescent="0.35"/>
  <cols>
    <col min="1" max="1" width="13.54296875" customWidth="1"/>
    <col min="2" max="2" width="15.81640625" customWidth="1"/>
    <col min="3" max="3" width="15.54296875" customWidth="1"/>
    <col min="4" max="4" width="17.6328125" bestFit="1" customWidth="1"/>
    <col min="6" max="6" width="15.54296875" customWidth="1"/>
    <col min="7" max="7" width="11" customWidth="1"/>
    <col min="8" max="8" width="13.90625" customWidth="1"/>
    <col min="9" max="9" width="9" customWidth="1"/>
    <col min="10" max="10" width="9.36328125" customWidth="1"/>
    <col min="11" max="11" width="12.26953125" bestFit="1" customWidth="1"/>
    <col min="12" max="12" width="15.54296875" customWidth="1"/>
    <col min="13" max="13" width="14.81640625" customWidth="1"/>
    <col min="14" max="14" width="13.36328125" customWidth="1"/>
    <col min="16" max="16" width="10.08984375" customWidth="1"/>
    <col min="17" max="17" width="13.90625" customWidth="1"/>
    <col min="19" max="19" width="10.453125" style="1" bestFit="1" customWidth="1"/>
  </cols>
  <sheetData>
    <row r="1" spans="1:19" x14ac:dyDescent="0.35">
      <c r="A1" t="s">
        <v>0</v>
      </c>
      <c r="B1" t="s">
        <v>1</v>
      </c>
      <c r="C1" t="s">
        <v>2</v>
      </c>
      <c r="D1" t="s">
        <v>3</v>
      </c>
      <c r="E1" t="s">
        <v>4</v>
      </c>
      <c r="F1" t="s">
        <v>5</v>
      </c>
      <c r="G1" t="s">
        <v>414</v>
      </c>
      <c r="H1" t="s">
        <v>415</v>
      </c>
      <c r="I1" t="s">
        <v>425</v>
      </c>
      <c r="J1" t="s">
        <v>416</v>
      </c>
      <c r="K1" t="s">
        <v>417</v>
      </c>
      <c r="L1" t="s">
        <v>418</v>
      </c>
      <c r="M1" t="s">
        <v>419</v>
      </c>
      <c r="N1" t="s">
        <v>422</v>
      </c>
      <c r="O1" t="s">
        <v>426</v>
      </c>
      <c r="P1" t="s">
        <v>420</v>
      </c>
      <c r="Q1" t="s">
        <v>423</v>
      </c>
      <c r="R1" t="s">
        <v>424</v>
      </c>
      <c r="S1" s="1" t="s">
        <v>427</v>
      </c>
    </row>
    <row r="2" spans="1:19" x14ac:dyDescent="0.35">
      <c r="A2" t="s">
        <v>6</v>
      </c>
      <c r="B2" t="s">
        <v>7</v>
      </c>
      <c r="C2" t="s">
        <v>8</v>
      </c>
      <c r="D2" t="s">
        <v>9</v>
      </c>
      <c r="E2">
        <v>3941.97</v>
      </c>
      <c r="F2" s="1">
        <v>45147</v>
      </c>
      <c r="G2" t="str">
        <f>_xlfn.XLOOKUP(B2,[1]appointments!$A$1:$A$201,[1]appointments!$B$1:$B$201, ,0)</f>
        <v>P034</v>
      </c>
      <c r="H2" t="str">
        <f>_xlfn.XLOOKUP(G2,[2]patients!$A$1:$A$51,[2]patients!$B$1:$B$51, ,0)</f>
        <v>Alex</v>
      </c>
      <c r="I2" t="str">
        <f>_xlfn.XLOOKUP(G2,[2]patients!$A$1:$A$51,[2]patients!$C$1:$C$51, ,0)</f>
        <v>Smith</v>
      </c>
      <c r="J2" t="str">
        <f>_xlfn.XLOOKUP(G2,[2]patients!$A$1:$A$51,[2]patients!$D$1:$D$51, ,0)</f>
        <v>F</v>
      </c>
      <c r="K2" t="str">
        <f>_xlfn.XLOOKUP(G2,[2]patients!$A$1:$A$51,[2]patients!$I$1:$I$51, ,0)</f>
        <v>WellnessCorp</v>
      </c>
      <c r="L2" t="str">
        <f>_xlfn.XLOOKUP(G2,[1]appointments!$B$1:$B$201,[1]appointments!$A$1:$A$201, ,0)</f>
        <v>A001</v>
      </c>
      <c r="M2" t="str">
        <f>_xlfn.XLOOKUP(G2,[1]appointments!$B$1:$B$201,[1]appointments!$F$1:$F$201, ,0)</f>
        <v>Therapy</v>
      </c>
      <c r="N2" t="str">
        <f>_xlfn.XLOOKUP(P2,[3]doctors!$A$1:$A$11,[3]doctors!$B$1:$B$11, ,0)</f>
        <v>Sarah</v>
      </c>
      <c r="O2" t="str">
        <f>_xlfn.XLOOKUP(P2,[3]doctors!$A$1:$A$11,[3]doctors!$C$1:$C$11, ,0)</f>
        <v>Smith</v>
      </c>
      <c r="P2" t="str">
        <f>_xlfn.XLOOKUP(G2,[1]appointments!$B$1:$B$201,[1]appointments!$C$1:$C$201, ,0)</f>
        <v>D009</v>
      </c>
      <c r="Q2" t="str">
        <f>_xlfn.XLOOKUP(P2,[3]doctors!$A$1:$A$11,[3]doctors!$D$1:$D$11, ,0)</f>
        <v>Pediatrics</v>
      </c>
      <c r="R2" t="str">
        <f>_xlfn.XLOOKUP(G2,[1]appointments!$B$1:$B$201,[1]appointments!$G$1:$G$201, ,0)</f>
        <v>Scheduled</v>
      </c>
      <c r="S2" s="1">
        <f>_xlfn.XLOOKUP(management_table[[#This Row],[ Patient Id]],[1]appointments!$B$1:$B$201,[1]appointments!$D$1:$D$201, ,0)</f>
        <v>45147</v>
      </c>
    </row>
    <row r="3" spans="1:19" x14ac:dyDescent="0.35">
      <c r="A3" t="s">
        <v>10</v>
      </c>
      <c r="B3" t="s">
        <v>11</v>
      </c>
      <c r="C3" t="s">
        <v>12</v>
      </c>
      <c r="D3" t="s">
        <v>13</v>
      </c>
      <c r="E3">
        <v>4158.4399999999996</v>
      </c>
      <c r="F3" s="1">
        <v>45086</v>
      </c>
      <c r="G3" t="str">
        <f>_xlfn.XLOOKUP(B3,[1]appointments!$A$1:$A$201,[1]appointments!$B$1:$B$201, ,0)</f>
        <v>P032</v>
      </c>
      <c r="H3" t="str">
        <f>_xlfn.XLOOKUP(G3,[2]patients!$A$1:$A$51,[2]patients!$B$1:$B$51, ,0)</f>
        <v>Alex</v>
      </c>
      <c r="I3" t="str">
        <f>_xlfn.XLOOKUP(G3,[2]patients!$A$1:$A$51,[2]patients!$C$1:$C$51, ,0)</f>
        <v>Moore</v>
      </c>
      <c r="J3" t="str">
        <f>_xlfn.XLOOKUP(G3,[2]patients!$A$1:$A$51,[2]patients!$D$1:$D$51, ,0)</f>
        <v>M</v>
      </c>
      <c r="K3" t="str">
        <f>_xlfn.XLOOKUP(G3,[2]patients!$A$1:$A$51,[2]patients!$I$1:$I$51, ,0)</f>
        <v>MedCare Plus</v>
      </c>
      <c r="L3" t="str">
        <f>_xlfn.XLOOKUP(G3,[1]appointments!$B$1:$B$201,[1]appointments!$A$1:$A$201, ,0)</f>
        <v>A002</v>
      </c>
      <c r="M3" t="str">
        <f>_xlfn.XLOOKUP(G3,[1]appointments!$B$1:$B$201,[1]appointments!$F$1:$F$201, ,0)</f>
        <v>Therapy</v>
      </c>
      <c r="N3" t="str">
        <f>_xlfn.XLOOKUP(P3,[3]doctors!$A$1:$A$11,[3]doctors!$B$1:$B$11, ,0)</f>
        <v>David</v>
      </c>
      <c r="O3" t="str">
        <f>_xlfn.XLOOKUP(P3,[3]doctors!$A$1:$A$11,[3]doctors!$C$1:$C$11, ,0)</f>
        <v>Jones</v>
      </c>
      <c r="P3" t="str">
        <f>_xlfn.XLOOKUP(G3,[1]appointments!$B$1:$B$201,[1]appointments!$C$1:$C$201, ,0)</f>
        <v>D004</v>
      </c>
      <c r="Q3" t="str">
        <f>_xlfn.XLOOKUP(P3,[3]doctors!$A$1:$A$11,[3]doctors!$D$1:$D$11, ,0)</f>
        <v>Pediatrics</v>
      </c>
      <c r="R3" t="str">
        <f>_xlfn.XLOOKUP(G3,[1]appointments!$B$1:$B$201,[1]appointments!$G$1:$G$201, ,0)</f>
        <v>No-show</v>
      </c>
      <c r="S3" s="1">
        <f>_xlfn.XLOOKUP(management_table[[#This Row],[ Patient Id]],[1]appointments!$B$1:$B$201,[1]appointments!$D$1:$D$201, ,0)</f>
        <v>45086</v>
      </c>
    </row>
    <row r="4" spans="1:19" x14ac:dyDescent="0.35">
      <c r="A4" t="s">
        <v>14</v>
      </c>
      <c r="B4" t="s">
        <v>15</v>
      </c>
      <c r="C4" t="s">
        <v>12</v>
      </c>
      <c r="D4" t="s">
        <v>16</v>
      </c>
      <c r="E4">
        <v>3731.55</v>
      </c>
      <c r="F4" s="1">
        <v>45105</v>
      </c>
      <c r="G4" t="str">
        <f>_xlfn.XLOOKUP(B4,[1]appointments!$A$1:$A$201,[1]appointments!$B$1:$B$201, ,0)</f>
        <v>P048</v>
      </c>
      <c r="H4" t="str">
        <f>_xlfn.XLOOKUP(G4,[2]patients!$A$1:$A$51,[2]patients!$B$1:$B$51, ,0)</f>
        <v>Emily</v>
      </c>
      <c r="I4" t="str">
        <f>_xlfn.XLOOKUP(G4,[2]patients!$A$1:$A$51,[2]patients!$C$1:$C$51, ,0)</f>
        <v>Miller</v>
      </c>
      <c r="J4" t="str">
        <f>_xlfn.XLOOKUP(G4,[2]patients!$A$1:$A$51,[2]patients!$D$1:$D$51, ,0)</f>
        <v>M</v>
      </c>
      <c r="K4" t="str">
        <f>_xlfn.XLOOKUP(G4,[2]patients!$A$1:$A$51,[2]patients!$I$1:$I$51, ,0)</f>
        <v>PulseSecure</v>
      </c>
      <c r="L4" t="str">
        <f>_xlfn.XLOOKUP(G4,[1]appointments!$B$1:$B$201,[1]appointments!$A$1:$A$201, ,0)</f>
        <v>A003</v>
      </c>
      <c r="M4" t="str">
        <f>_xlfn.XLOOKUP(G4,[1]appointments!$B$1:$B$201,[1]appointments!$F$1:$F$201, ,0)</f>
        <v>Consultation</v>
      </c>
      <c r="N4" t="str">
        <f>_xlfn.XLOOKUP(P4,[3]doctors!$A$1:$A$11,[3]doctors!$B$1:$B$11, ,0)</f>
        <v>David</v>
      </c>
      <c r="O4" t="str">
        <f>_xlfn.XLOOKUP(P4,[3]doctors!$A$1:$A$11,[3]doctors!$C$1:$C$11, ,0)</f>
        <v>Jones</v>
      </c>
      <c r="P4" t="str">
        <f>_xlfn.XLOOKUP(G4,[1]appointments!$B$1:$B$201,[1]appointments!$C$1:$C$201, ,0)</f>
        <v>D004</v>
      </c>
      <c r="Q4" t="str">
        <f>_xlfn.XLOOKUP(P4,[3]doctors!$A$1:$A$11,[3]doctors!$D$1:$D$11, ,0)</f>
        <v>Pediatrics</v>
      </c>
      <c r="R4" t="str">
        <f>_xlfn.XLOOKUP(G4,[1]appointments!$B$1:$B$201,[1]appointments!$G$1:$G$201, ,0)</f>
        <v>Cancelled</v>
      </c>
      <c r="S4" s="1">
        <f>_xlfn.XLOOKUP(management_table[[#This Row],[ Patient Id]],[1]appointments!$B$1:$B$201,[1]appointments!$D$1:$D$201, ,0)</f>
        <v>45105</v>
      </c>
    </row>
    <row r="5" spans="1:19" x14ac:dyDescent="0.35">
      <c r="A5" t="s">
        <v>17</v>
      </c>
      <c r="B5" t="s">
        <v>18</v>
      </c>
      <c r="C5" t="s">
        <v>12</v>
      </c>
      <c r="D5" t="s">
        <v>9</v>
      </c>
      <c r="E5">
        <v>4799.8599999999997</v>
      </c>
      <c r="F5" s="1">
        <v>45170</v>
      </c>
      <c r="G5" t="str">
        <f>_xlfn.XLOOKUP(B5,[1]appointments!$A$1:$A$201,[1]appointments!$B$1:$B$201, ,0)</f>
        <v>P025</v>
      </c>
      <c r="H5" t="str">
        <f>_xlfn.XLOOKUP(G5,[2]patients!$A$1:$A$51,[2]patients!$B$1:$B$51, ,0)</f>
        <v>Robert</v>
      </c>
      <c r="I5" t="str">
        <f>_xlfn.XLOOKUP(G5,[2]patients!$A$1:$A$51,[2]patients!$C$1:$C$51, ,0)</f>
        <v>Wilson</v>
      </c>
      <c r="J5" t="str">
        <f>_xlfn.XLOOKUP(G5,[2]patients!$A$1:$A$51,[2]patients!$D$1:$D$51, ,0)</f>
        <v>M</v>
      </c>
      <c r="K5" t="str">
        <f>_xlfn.XLOOKUP(G5,[2]patients!$A$1:$A$51,[2]patients!$I$1:$I$51, ,0)</f>
        <v>HealthIndia</v>
      </c>
      <c r="L5" t="str">
        <f>_xlfn.XLOOKUP(G5,[1]appointments!$B$1:$B$201,[1]appointments!$A$1:$A$201, ,0)</f>
        <v>A004</v>
      </c>
      <c r="M5" t="str">
        <f>_xlfn.XLOOKUP(G5,[1]appointments!$B$1:$B$201,[1]appointments!$F$1:$F$201, ,0)</f>
        <v>Consultation</v>
      </c>
      <c r="N5" t="str">
        <f>_xlfn.XLOOKUP(P5,[3]doctors!$A$1:$A$11,[3]doctors!$B$1:$B$11, ,0)</f>
        <v>Alex</v>
      </c>
      <c r="O5" t="str">
        <f>_xlfn.XLOOKUP(P5,[3]doctors!$A$1:$A$11,[3]doctors!$C$1:$C$11, ,0)</f>
        <v>Davis</v>
      </c>
      <c r="P5" t="str">
        <f>_xlfn.XLOOKUP(G5,[1]appointments!$B$1:$B$201,[1]appointments!$C$1:$C$201, ,0)</f>
        <v>D006</v>
      </c>
      <c r="Q5" t="str">
        <f>_xlfn.XLOOKUP(P5,[3]doctors!$A$1:$A$11,[3]doctors!$D$1:$D$11, ,0)</f>
        <v>Pediatrics</v>
      </c>
      <c r="R5" t="str">
        <f>_xlfn.XLOOKUP(G5,[1]appointments!$B$1:$B$201,[1]appointments!$G$1:$G$201, ,0)</f>
        <v>Cancelled</v>
      </c>
      <c r="S5" s="1">
        <f>_xlfn.XLOOKUP(management_table[[#This Row],[ Patient Id]],[1]appointments!$B$1:$B$201,[1]appointments!$D$1:$D$201, ,0)</f>
        <v>45170</v>
      </c>
    </row>
    <row r="6" spans="1:19" x14ac:dyDescent="0.35">
      <c r="A6" t="s">
        <v>19</v>
      </c>
      <c r="B6" t="s">
        <v>20</v>
      </c>
      <c r="C6" t="s">
        <v>21</v>
      </c>
      <c r="D6" t="s">
        <v>16</v>
      </c>
      <c r="E6">
        <v>582.04999999999995</v>
      </c>
      <c r="F6" s="1">
        <v>45113</v>
      </c>
      <c r="G6" t="str">
        <f>_xlfn.XLOOKUP(B6,[1]appointments!$A$1:$A$201,[1]appointments!$B$1:$B$201, ,0)</f>
        <v>P040</v>
      </c>
      <c r="H6" t="str">
        <f>_xlfn.XLOOKUP(G6,[2]patients!$A$1:$A$51,[2]patients!$B$1:$B$51, ,0)</f>
        <v>Emily</v>
      </c>
      <c r="I6" t="str">
        <f>_xlfn.XLOOKUP(G6,[2]patients!$A$1:$A$51,[2]patients!$C$1:$C$51, ,0)</f>
        <v>Williams</v>
      </c>
      <c r="J6" t="str">
        <f>_xlfn.XLOOKUP(G6,[2]patients!$A$1:$A$51,[2]patients!$D$1:$D$51, ,0)</f>
        <v>M</v>
      </c>
      <c r="K6" t="str">
        <f>_xlfn.XLOOKUP(G6,[2]patients!$A$1:$A$51,[2]patients!$I$1:$I$51, ,0)</f>
        <v>PulseSecure</v>
      </c>
      <c r="L6" t="str">
        <f>_xlfn.XLOOKUP(G6,[1]appointments!$B$1:$B$201,[1]appointments!$A$1:$A$201, ,0)</f>
        <v>A005</v>
      </c>
      <c r="M6" t="str">
        <f>_xlfn.XLOOKUP(G6,[1]appointments!$B$1:$B$201,[1]appointments!$F$1:$F$201, ,0)</f>
        <v>Emergency</v>
      </c>
      <c r="N6" t="str">
        <f>_xlfn.XLOOKUP(P6,[3]doctors!$A$1:$A$11,[3]doctors!$B$1:$B$11, ,0)</f>
        <v>Jane</v>
      </c>
      <c r="O6" t="str">
        <f>_xlfn.XLOOKUP(P6,[3]doctors!$A$1:$A$11,[3]doctors!$C$1:$C$11, ,0)</f>
        <v>Smith</v>
      </c>
      <c r="P6" t="str">
        <f>_xlfn.XLOOKUP(G6,[1]appointments!$B$1:$B$201,[1]appointments!$C$1:$C$201, ,0)</f>
        <v>D003</v>
      </c>
      <c r="Q6" t="str">
        <f>_xlfn.XLOOKUP(P6,[3]doctors!$A$1:$A$11,[3]doctors!$D$1:$D$11, ,0)</f>
        <v>Pediatrics</v>
      </c>
      <c r="R6" t="str">
        <f>_xlfn.XLOOKUP(G6,[1]appointments!$B$1:$B$201,[1]appointments!$G$1:$G$201, ,0)</f>
        <v>No-show</v>
      </c>
      <c r="S6" s="1">
        <f>_xlfn.XLOOKUP(management_table[[#This Row],[ Patient Id]],[1]appointments!$B$1:$B$201,[1]appointments!$D$1:$D$201, ,0)</f>
        <v>45113</v>
      </c>
    </row>
    <row r="7" spans="1:19" x14ac:dyDescent="0.35">
      <c r="A7" t="s">
        <v>22</v>
      </c>
      <c r="B7" t="s">
        <v>23</v>
      </c>
      <c r="C7" t="s">
        <v>8</v>
      </c>
      <c r="D7" t="s">
        <v>16</v>
      </c>
      <c r="E7">
        <v>1381</v>
      </c>
      <c r="F7" s="1">
        <v>45096</v>
      </c>
      <c r="G7" t="str">
        <f>_xlfn.XLOOKUP(B7,[1]appointments!$A$1:$A$201,[1]appointments!$B$1:$B$201, ,0)</f>
        <v>P045</v>
      </c>
      <c r="H7" t="str">
        <f>_xlfn.XLOOKUP(G7,[2]patients!$A$1:$A$51,[2]patients!$B$1:$B$51, ,0)</f>
        <v>Linda</v>
      </c>
      <c r="I7" t="str">
        <f>_xlfn.XLOOKUP(G7,[2]patients!$A$1:$A$51,[2]patients!$C$1:$C$51, ,0)</f>
        <v>Miller</v>
      </c>
      <c r="J7" t="str">
        <f>_xlfn.XLOOKUP(G7,[2]patients!$A$1:$A$51,[2]patients!$D$1:$D$51, ,0)</f>
        <v>F</v>
      </c>
      <c r="K7" t="str">
        <f>_xlfn.XLOOKUP(G7,[2]patients!$A$1:$A$51,[2]patients!$I$1:$I$51, ,0)</f>
        <v>MedCare Plus</v>
      </c>
      <c r="L7" t="str">
        <f>_xlfn.XLOOKUP(G7,[1]appointments!$B$1:$B$201,[1]appointments!$A$1:$A$201, ,0)</f>
        <v>A006</v>
      </c>
      <c r="M7" t="str">
        <f>_xlfn.XLOOKUP(G7,[1]appointments!$B$1:$B$201,[1]appointments!$F$1:$F$201, ,0)</f>
        <v>Checkup</v>
      </c>
      <c r="N7" t="str">
        <f>_xlfn.XLOOKUP(P7,[3]doctors!$A$1:$A$11,[3]doctors!$B$1:$B$11, ,0)</f>
        <v>Alex</v>
      </c>
      <c r="O7" t="str">
        <f>_xlfn.XLOOKUP(P7,[3]doctors!$A$1:$A$11,[3]doctors!$C$1:$C$11, ,0)</f>
        <v>Davis</v>
      </c>
      <c r="P7" t="str">
        <f>_xlfn.XLOOKUP(G7,[1]appointments!$B$1:$B$201,[1]appointments!$C$1:$C$201, ,0)</f>
        <v>D006</v>
      </c>
      <c r="Q7" t="str">
        <f>_xlfn.XLOOKUP(P7,[3]doctors!$A$1:$A$11,[3]doctors!$D$1:$D$11, ,0)</f>
        <v>Pediatrics</v>
      </c>
      <c r="R7" t="str">
        <f>_xlfn.XLOOKUP(G7,[1]appointments!$B$1:$B$201,[1]appointments!$G$1:$G$201, ,0)</f>
        <v>Scheduled</v>
      </c>
      <c r="S7" s="1">
        <f>_xlfn.XLOOKUP(management_table[[#This Row],[ Patient Id]],[1]appointments!$B$1:$B$201,[1]appointments!$D$1:$D$201, ,0)</f>
        <v>45096</v>
      </c>
    </row>
    <row r="8" spans="1:19" x14ac:dyDescent="0.35">
      <c r="A8" t="s">
        <v>24</v>
      </c>
      <c r="B8" t="s">
        <v>25</v>
      </c>
      <c r="C8" t="s">
        <v>8</v>
      </c>
      <c r="D8" t="s">
        <v>13</v>
      </c>
      <c r="E8">
        <v>534.03</v>
      </c>
      <c r="F8" s="1">
        <v>45025</v>
      </c>
      <c r="G8" t="str">
        <f>_xlfn.XLOOKUP(B8,[1]appointments!$A$1:$A$201,[1]appointments!$B$1:$B$201, ,0)</f>
        <v>P001</v>
      </c>
      <c r="H8" t="str">
        <f>_xlfn.XLOOKUP(G8,[2]patients!$A$1:$A$51,[2]patients!$B$1:$B$51, ,0)</f>
        <v>David</v>
      </c>
      <c r="I8" t="str">
        <f>_xlfn.XLOOKUP(G8,[2]patients!$A$1:$A$51,[2]patients!$C$1:$C$51, ,0)</f>
        <v>Williams</v>
      </c>
      <c r="J8" t="str">
        <f>_xlfn.XLOOKUP(G8,[2]patients!$A$1:$A$51,[2]patients!$D$1:$D$51, ,0)</f>
        <v>F</v>
      </c>
      <c r="K8" t="str">
        <f>_xlfn.XLOOKUP(G8,[2]patients!$A$1:$A$51,[2]patients!$I$1:$I$51, ,0)</f>
        <v>WellnessCorp</v>
      </c>
      <c r="L8" t="str">
        <f>_xlfn.XLOOKUP(G8,[1]appointments!$B$1:$B$201,[1]appointments!$A$1:$A$201, ,0)</f>
        <v>A007</v>
      </c>
      <c r="M8" t="str">
        <f>_xlfn.XLOOKUP(G8,[1]appointments!$B$1:$B$201,[1]appointments!$F$1:$F$201, ,0)</f>
        <v>Consultation</v>
      </c>
      <c r="N8" t="str">
        <f>_xlfn.XLOOKUP(P8,[3]doctors!$A$1:$A$11,[3]doctors!$B$1:$B$11, ,0)</f>
        <v>Robert</v>
      </c>
      <c r="O8" t="str">
        <f>_xlfn.XLOOKUP(P8,[3]doctors!$A$1:$A$11,[3]doctors!$C$1:$C$11, ,0)</f>
        <v>Davis</v>
      </c>
      <c r="P8" t="str">
        <f>_xlfn.XLOOKUP(G8,[1]appointments!$B$1:$B$201,[1]appointments!$C$1:$C$201, ,0)</f>
        <v>D007</v>
      </c>
      <c r="Q8" t="str">
        <f>_xlfn.XLOOKUP(P8,[3]doctors!$A$1:$A$11,[3]doctors!$D$1:$D$11, ,0)</f>
        <v>Oncology</v>
      </c>
      <c r="R8" t="str">
        <f>_xlfn.XLOOKUP(G8,[1]appointments!$B$1:$B$201,[1]appointments!$G$1:$G$201, ,0)</f>
        <v>Scheduled</v>
      </c>
      <c r="S8" s="1">
        <f>_xlfn.XLOOKUP(management_table[[#This Row],[ Patient Id]],[1]appointments!$B$1:$B$201,[1]appointments!$D$1:$D$201, ,0)</f>
        <v>45025</v>
      </c>
    </row>
    <row r="9" spans="1:19" x14ac:dyDescent="0.35">
      <c r="A9" t="s">
        <v>26</v>
      </c>
      <c r="B9" t="s">
        <v>27</v>
      </c>
      <c r="C9" t="s">
        <v>28</v>
      </c>
      <c r="D9" t="s">
        <v>9</v>
      </c>
      <c r="E9">
        <v>3413.64</v>
      </c>
      <c r="F9" s="1">
        <v>45070</v>
      </c>
      <c r="G9" t="str">
        <f>_xlfn.XLOOKUP(B9,[1]appointments!$A$1:$A$201,[1]appointments!$B$1:$B$201, ,0)</f>
        <v>P016</v>
      </c>
      <c r="H9" t="str">
        <f>_xlfn.XLOOKUP(G9,[2]patients!$A$1:$A$51,[2]patients!$B$1:$B$51, ,0)</f>
        <v>Michael</v>
      </c>
      <c r="I9" t="str">
        <f>_xlfn.XLOOKUP(G9,[2]patients!$A$1:$A$51,[2]patients!$C$1:$C$51, ,0)</f>
        <v>Taylor</v>
      </c>
      <c r="J9" t="str">
        <f>_xlfn.XLOOKUP(G9,[2]patients!$A$1:$A$51,[2]patients!$D$1:$D$51, ,0)</f>
        <v>M</v>
      </c>
      <c r="K9" t="str">
        <f>_xlfn.XLOOKUP(G9,[2]patients!$A$1:$A$51,[2]patients!$I$1:$I$51, ,0)</f>
        <v>PulseSecure</v>
      </c>
      <c r="L9" t="str">
        <f>_xlfn.XLOOKUP(G9,[1]appointments!$B$1:$B$201,[1]appointments!$A$1:$A$201, ,0)</f>
        <v>A008</v>
      </c>
      <c r="M9" t="str">
        <f>_xlfn.XLOOKUP(G9,[1]appointments!$B$1:$B$201,[1]appointments!$F$1:$F$201, ,0)</f>
        <v>Consultation</v>
      </c>
      <c r="N9" t="str">
        <f>_xlfn.XLOOKUP(P9,[3]doctors!$A$1:$A$11,[3]doctors!$B$1:$B$11, ,0)</f>
        <v>Linda</v>
      </c>
      <c r="O9" t="str">
        <f>_xlfn.XLOOKUP(P9,[3]doctors!$A$1:$A$11,[3]doctors!$C$1:$C$11, ,0)</f>
        <v>Wilson</v>
      </c>
      <c r="P9" t="str">
        <f>_xlfn.XLOOKUP(G9,[1]appointments!$B$1:$B$201,[1]appointments!$C$1:$C$201, ,0)</f>
        <v>D010</v>
      </c>
      <c r="Q9" t="str">
        <f>_xlfn.XLOOKUP(P9,[3]doctors!$A$1:$A$11,[3]doctors!$D$1:$D$11, ,0)</f>
        <v>Oncology</v>
      </c>
      <c r="R9" t="str">
        <f>_xlfn.XLOOKUP(G9,[1]appointments!$B$1:$B$201,[1]appointments!$G$1:$G$201, ,0)</f>
        <v>Cancelled</v>
      </c>
      <c r="S9" s="1">
        <f>_xlfn.XLOOKUP(management_table[[#This Row],[ Patient Id]],[1]appointments!$B$1:$B$201,[1]appointments!$D$1:$D$201, ,0)</f>
        <v>45070</v>
      </c>
    </row>
    <row r="10" spans="1:19" x14ac:dyDescent="0.35">
      <c r="A10" t="s">
        <v>29</v>
      </c>
      <c r="B10" t="s">
        <v>30</v>
      </c>
      <c r="C10" t="s">
        <v>28</v>
      </c>
      <c r="D10" t="s">
        <v>16</v>
      </c>
      <c r="E10">
        <v>4541.1400000000003</v>
      </c>
      <c r="F10" s="1">
        <v>44990</v>
      </c>
      <c r="G10" t="str">
        <f>_xlfn.XLOOKUP(B10,[1]appointments!$A$1:$A$201,[1]appointments!$B$1:$B$201, ,0)</f>
        <v>P039</v>
      </c>
      <c r="H10" t="str">
        <f>_xlfn.XLOOKUP(G10,[2]patients!$A$1:$A$51,[2]patients!$B$1:$B$51, ,0)</f>
        <v>Jane</v>
      </c>
      <c r="I10" t="str">
        <f>_xlfn.XLOOKUP(G10,[2]patients!$A$1:$A$51,[2]patients!$C$1:$C$51, ,0)</f>
        <v>Wilson</v>
      </c>
      <c r="J10" t="str">
        <f>_xlfn.XLOOKUP(G10,[2]patients!$A$1:$A$51,[2]patients!$D$1:$D$51, ,0)</f>
        <v>F</v>
      </c>
      <c r="K10" t="str">
        <f>_xlfn.XLOOKUP(G10,[2]patients!$A$1:$A$51,[2]patients!$I$1:$I$51, ,0)</f>
        <v>PulseSecure</v>
      </c>
      <c r="L10" t="str">
        <f>_xlfn.XLOOKUP(G10,[1]appointments!$B$1:$B$201,[1]appointments!$A$1:$A$201, ,0)</f>
        <v>A009</v>
      </c>
      <c r="M10" t="str">
        <f>_xlfn.XLOOKUP(G10,[1]appointments!$B$1:$B$201,[1]appointments!$F$1:$F$201, ,0)</f>
        <v>Follow-up</v>
      </c>
      <c r="N10" t="str">
        <f>_xlfn.XLOOKUP(P10,[3]doctors!$A$1:$A$11,[3]doctors!$B$1:$B$11, ,0)</f>
        <v>Linda</v>
      </c>
      <c r="O10" t="str">
        <f>_xlfn.XLOOKUP(P10,[3]doctors!$A$1:$A$11,[3]doctors!$C$1:$C$11, ,0)</f>
        <v>Wilson</v>
      </c>
      <c r="P10" t="str">
        <f>_xlfn.XLOOKUP(G10,[1]appointments!$B$1:$B$201,[1]appointments!$C$1:$C$201, ,0)</f>
        <v>D010</v>
      </c>
      <c r="Q10" t="str">
        <f>_xlfn.XLOOKUP(P10,[3]doctors!$A$1:$A$11,[3]doctors!$D$1:$D$11, ,0)</f>
        <v>Oncology</v>
      </c>
      <c r="R10" t="str">
        <f>_xlfn.XLOOKUP(G10,[1]appointments!$B$1:$B$201,[1]appointments!$G$1:$G$201, ,0)</f>
        <v>Scheduled</v>
      </c>
      <c r="S10" s="1">
        <f>_xlfn.XLOOKUP(management_table[[#This Row],[ Patient Id]],[1]appointments!$B$1:$B$201,[1]appointments!$D$1:$D$201, ,0)</f>
        <v>44990</v>
      </c>
    </row>
    <row r="11" spans="1:19" x14ac:dyDescent="0.35">
      <c r="A11" t="s">
        <v>31</v>
      </c>
      <c r="B11" t="s">
        <v>32</v>
      </c>
      <c r="C11" t="s">
        <v>28</v>
      </c>
      <c r="D11" t="s">
        <v>16</v>
      </c>
      <c r="E11">
        <v>1595.67</v>
      </c>
      <c r="F11" s="1">
        <v>44939</v>
      </c>
      <c r="G11" t="str">
        <f>_xlfn.XLOOKUP(B11,[1]appointments!$A$1:$A$201,[1]appointments!$B$1:$B$201, ,0)</f>
        <v>P005</v>
      </c>
      <c r="H11" t="str">
        <f>_xlfn.XLOOKUP(G11,[2]patients!$A$1:$A$51,[2]patients!$B$1:$B$51, ,0)</f>
        <v>David</v>
      </c>
      <c r="I11" t="str">
        <f>_xlfn.XLOOKUP(G11,[2]patients!$A$1:$A$51,[2]patients!$C$1:$C$51, ,0)</f>
        <v>Wilson</v>
      </c>
      <c r="J11" t="str">
        <f>_xlfn.XLOOKUP(G11,[2]patients!$A$1:$A$51,[2]patients!$D$1:$D$51, ,0)</f>
        <v>M</v>
      </c>
      <c r="K11" t="str">
        <f>_xlfn.XLOOKUP(G11,[2]patients!$A$1:$A$51,[2]patients!$I$1:$I$51, ,0)</f>
        <v>MedCare Plus</v>
      </c>
      <c r="L11" t="str">
        <f>_xlfn.XLOOKUP(G11,[1]appointments!$B$1:$B$201,[1]appointments!$A$1:$A$201, ,0)</f>
        <v>A010</v>
      </c>
      <c r="M11" t="str">
        <f>_xlfn.XLOOKUP(G11,[1]appointments!$B$1:$B$201,[1]appointments!$F$1:$F$201, ,0)</f>
        <v>Therapy</v>
      </c>
      <c r="N11" t="str">
        <f>_xlfn.XLOOKUP(P11,[3]doctors!$A$1:$A$11,[3]doctors!$B$1:$B$11, ,0)</f>
        <v>Jane</v>
      </c>
      <c r="O11" t="str">
        <f>_xlfn.XLOOKUP(P11,[3]doctors!$A$1:$A$11,[3]doctors!$C$1:$C$11, ,0)</f>
        <v>Smith</v>
      </c>
      <c r="P11" t="str">
        <f>_xlfn.XLOOKUP(G11,[1]appointments!$B$1:$B$201,[1]appointments!$C$1:$C$201, ,0)</f>
        <v>D003</v>
      </c>
      <c r="Q11" t="str">
        <f>_xlfn.XLOOKUP(P11,[3]doctors!$A$1:$A$11,[3]doctors!$D$1:$D$11, ,0)</f>
        <v>Pediatrics</v>
      </c>
      <c r="R11" t="str">
        <f>_xlfn.XLOOKUP(G11,[1]appointments!$B$1:$B$201,[1]appointments!$G$1:$G$201, ,0)</f>
        <v>Completed</v>
      </c>
      <c r="S11" s="1">
        <f>_xlfn.XLOOKUP(management_table[[#This Row],[ Patient Id]],[1]appointments!$B$1:$B$201,[1]appointments!$D$1:$D$201, ,0)</f>
        <v>44939</v>
      </c>
    </row>
    <row r="12" spans="1:19" x14ac:dyDescent="0.35">
      <c r="A12" t="s">
        <v>33</v>
      </c>
      <c r="B12" t="s">
        <v>34</v>
      </c>
      <c r="C12" t="s">
        <v>12</v>
      </c>
      <c r="D12" t="s">
        <v>9</v>
      </c>
      <c r="E12">
        <v>4671.66</v>
      </c>
      <c r="F12" s="1">
        <v>45242</v>
      </c>
      <c r="G12" t="str">
        <f>_xlfn.XLOOKUP(B12,[1]appointments!$A$1:$A$201,[1]appointments!$B$1:$B$201, ,0)</f>
        <v>P022</v>
      </c>
      <c r="H12" t="str">
        <f>_xlfn.XLOOKUP(G12,[2]patients!$A$1:$A$51,[2]patients!$B$1:$B$51, ,0)</f>
        <v>John</v>
      </c>
      <c r="I12" t="str">
        <f>_xlfn.XLOOKUP(G12,[2]patients!$A$1:$A$51,[2]patients!$C$1:$C$51, ,0)</f>
        <v>Brown</v>
      </c>
      <c r="J12" t="str">
        <f>_xlfn.XLOOKUP(G12,[2]patients!$A$1:$A$51,[2]patients!$D$1:$D$51, ,0)</f>
        <v>M</v>
      </c>
      <c r="K12" t="str">
        <f>_xlfn.XLOOKUP(G12,[2]patients!$A$1:$A$51,[2]patients!$I$1:$I$51, ,0)</f>
        <v>MedCare Plus</v>
      </c>
      <c r="L12" t="str">
        <f>_xlfn.XLOOKUP(G12,[1]appointments!$B$1:$B$201,[1]appointments!$A$1:$A$201, ,0)</f>
        <v>A011</v>
      </c>
      <c r="M12" t="str">
        <f>_xlfn.XLOOKUP(G12,[1]appointments!$B$1:$B$201,[1]appointments!$F$1:$F$201, ,0)</f>
        <v>Checkup</v>
      </c>
      <c r="N12" t="str">
        <f>_xlfn.XLOOKUP(P12,[3]doctors!$A$1:$A$11,[3]doctors!$B$1:$B$11, ,0)</f>
        <v>Robert</v>
      </c>
      <c r="O12" t="str">
        <f>_xlfn.XLOOKUP(P12,[3]doctors!$A$1:$A$11,[3]doctors!$C$1:$C$11, ,0)</f>
        <v>Davis</v>
      </c>
      <c r="P12" t="str">
        <f>_xlfn.XLOOKUP(G12,[1]appointments!$B$1:$B$201,[1]appointments!$C$1:$C$201, ,0)</f>
        <v>D007</v>
      </c>
      <c r="Q12" t="str">
        <f>_xlfn.XLOOKUP(P12,[3]doctors!$A$1:$A$11,[3]doctors!$D$1:$D$11, ,0)</f>
        <v>Oncology</v>
      </c>
      <c r="R12" t="str">
        <f>_xlfn.XLOOKUP(G12,[1]appointments!$B$1:$B$201,[1]appointments!$G$1:$G$201, ,0)</f>
        <v>No-show</v>
      </c>
      <c r="S12" s="1">
        <f>_xlfn.XLOOKUP(management_table[[#This Row],[ Patient Id]],[1]appointments!$B$1:$B$201,[1]appointments!$D$1:$D$201, ,0)</f>
        <v>45242</v>
      </c>
    </row>
    <row r="13" spans="1:19" x14ac:dyDescent="0.35">
      <c r="A13" t="s">
        <v>35</v>
      </c>
      <c r="B13" t="s">
        <v>36</v>
      </c>
      <c r="C13" t="s">
        <v>8</v>
      </c>
      <c r="D13" t="s">
        <v>16</v>
      </c>
      <c r="E13">
        <v>771.2</v>
      </c>
      <c r="F13" s="1">
        <v>45053</v>
      </c>
      <c r="G13" t="str">
        <f>_xlfn.XLOOKUP(B13,[1]appointments!$A$1:$A$201,[1]appointments!$B$1:$B$201, ,0)</f>
        <v>P029</v>
      </c>
      <c r="H13" t="str">
        <f>_xlfn.XLOOKUP(G13,[2]patients!$A$1:$A$51,[2]patients!$B$1:$B$51, ,0)</f>
        <v>David</v>
      </c>
      <c r="I13" t="str">
        <f>_xlfn.XLOOKUP(G13,[2]patients!$A$1:$A$51,[2]patients!$C$1:$C$51, ,0)</f>
        <v>Smith</v>
      </c>
      <c r="J13" t="str">
        <f>_xlfn.XLOOKUP(G13,[2]patients!$A$1:$A$51,[2]patients!$D$1:$D$51, ,0)</f>
        <v>M</v>
      </c>
      <c r="K13" t="str">
        <f>_xlfn.XLOOKUP(G13,[2]patients!$A$1:$A$51,[2]patients!$I$1:$I$51, ,0)</f>
        <v>HealthIndia</v>
      </c>
      <c r="L13" t="str">
        <f>_xlfn.XLOOKUP(G13,[1]appointments!$B$1:$B$201,[1]appointments!$A$1:$A$201, ,0)</f>
        <v>A012</v>
      </c>
      <c r="M13" t="str">
        <f>_xlfn.XLOOKUP(G13,[1]appointments!$B$1:$B$201,[1]appointments!$F$1:$F$201, ,0)</f>
        <v>Follow-up</v>
      </c>
      <c r="N13" t="str">
        <f>_xlfn.XLOOKUP(P13,[3]doctors!$A$1:$A$11,[3]doctors!$B$1:$B$11, ,0)</f>
        <v>Jane</v>
      </c>
      <c r="O13" t="str">
        <f>_xlfn.XLOOKUP(P13,[3]doctors!$A$1:$A$11,[3]doctors!$C$1:$C$11, ,0)</f>
        <v>Smith</v>
      </c>
      <c r="P13" t="str">
        <f>_xlfn.XLOOKUP(G13,[1]appointments!$B$1:$B$201,[1]appointments!$C$1:$C$201, ,0)</f>
        <v>D003</v>
      </c>
      <c r="Q13" t="str">
        <f>_xlfn.XLOOKUP(P13,[3]doctors!$A$1:$A$11,[3]doctors!$D$1:$D$11, ,0)</f>
        <v>Pediatrics</v>
      </c>
      <c r="R13" t="str">
        <f>_xlfn.XLOOKUP(G13,[1]appointments!$B$1:$B$201,[1]appointments!$G$1:$G$201, ,0)</f>
        <v>Completed</v>
      </c>
      <c r="S13" s="1">
        <f>_xlfn.XLOOKUP(management_table[[#This Row],[ Patient Id]],[1]appointments!$B$1:$B$201,[1]appointments!$D$1:$D$201, ,0)</f>
        <v>45053</v>
      </c>
    </row>
    <row r="14" spans="1:19" x14ac:dyDescent="0.35">
      <c r="A14" t="s">
        <v>37</v>
      </c>
      <c r="B14" t="s">
        <v>38</v>
      </c>
      <c r="C14" t="s">
        <v>12</v>
      </c>
      <c r="D14" t="s">
        <v>16</v>
      </c>
      <c r="E14">
        <v>4704.96</v>
      </c>
      <c r="F14" s="1">
        <v>45154</v>
      </c>
      <c r="G14" t="str">
        <f>_xlfn.XLOOKUP(B14,[1]appointments!$A$1:$A$201,[1]appointments!$B$1:$B$201, ,0)</f>
        <v>P003</v>
      </c>
      <c r="H14" t="str">
        <f>_xlfn.XLOOKUP(G14,[2]patients!$A$1:$A$51,[2]patients!$B$1:$B$51, ,0)</f>
        <v>Laura</v>
      </c>
      <c r="I14" t="str">
        <f>_xlfn.XLOOKUP(G14,[2]patients!$A$1:$A$51,[2]patients!$C$1:$C$51, ,0)</f>
        <v>Jones</v>
      </c>
      <c r="J14" t="str">
        <f>_xlfn.XLOOKUP(G14,[2]patients!$A$1:$A$51,[2]patients!$D$1:$D$51, ,0)</f>
        <v>M</v>
      </c>
      <c r="K14" t="str">
        <f>_xlfn.XLOOKUP(G14,[2]patients!$A$1:$A$51,[2]patients!$I$1:$I$51, ,0)</f>
        <v>PulseSecure</v>
      </c>
      <c r="L14" t="str">
        <f>_xlfn.XLOOKUP(G14,[1]appointments!$B$1:$B$201,[1]appointments!$A$1:$A$201, ,0)</f>
        <v>A013</v>
      </c>
      <c r="M14" t="str">
        <f>_xlfn.XLOOKUP(G14,[1]appointments!$B$1:$B$201,[1]appointments!$F$1:$F$201, ,0)</f>
        <v>Emergency</v>
      </c>
      <c r="N14" t="str">
        <f>_xlfn.XLOOKUP(P14,[3]doctors!$A$1:$A$11,[3]doctors!$B$1:$B$11, ,0)</f>
        <v>Jane</v>
      </c>
      <c r="O14" t="str">
        <f>_xlfn.XLOOKUP(P14,[3]doctors!$A$1:$A$11,[3]doctors!$C$1:$C$11, ,0)</f>
        <v>Davis</v>
      </c>
      <c r="P14" t="str">
        <f>_xlfn.XLOOKUP(G14,[1]appointments!$B$1:$B$201,[1]appointments!$C$1:$C$201, ,0)</f>
        <v>D002</v>
      </c>
      <c r="Q14" t="str">
        <f>_xlfn.XLOOKUP(P14,[3]doctors!$A$1:$A$11,[3]doctors!$D$1:$D$11, ,0)</f>
        <v>Pediatrics</v>
      </c>
      <c r="R14" t="str">
        <f>_xlfn.XLOOKUP(G14,[1]appointments!$B$1:$B$201,[1]appointments!$G$1:$G$201, ,0)</f>
        <v>Scheduled</v>
      </c>
      <c r="S14" s="1">
        <f>_xlfn.XLOOKUP(management_table[[#This Row],[ Patient Id]],[1]appointments!$B$1:$B$201,[1]appointments!$D$1:$D$201, ,0)</f>
        <v>45154</v>
      </c>
    </row>
    <row r="15" spans="1:19" x14ac:dyDescent="0.35">
      <c r="A15" t="s">
        <v>39</v>
      </c>
      <c r="B15" t="s">
        <v>40</v>
      </c>
      <c r="C15" t="s">
        <v>21</v>
      </c>
      <c r="D15" t="s">
        <v>9</v>
      </c>
      <c r="E15">
        <v>2082.3000000000002</v>
      </c>
      <c r="F15" s="1">
        <v>45071</v>
      </c>
      <c r="G15" t="str">
        <f>_xlfn.XLOOKUP(B15,[1]appointments!$A$1:$A$201,[1]appointments!$B$1:$B$201, ,0)</f>
        <v>P012</v>
      </c>
      <c r="H15" t="str">
        <f>_xlfn.XLOOKUP(G15,[2]patients!$A$1:$A$51,[2]patients!$B$1:$B$51, ,0)</f>
        <v>Laura</v>
      </c>
      <c r="I15" t="str">
        <f>_xlfn.XLOOKUP(G15,[2]patients!$A$1:$A$51,[2]patients!$C$1:$C$51, ,0)</f>
        <v>Davis</v>
      </c>
      <c r="J15" t="str">
        <f>_xlfn.XLOOKUP(G15,[2]patients!$A$1:$A$51,[2]patients!$D$1:$D$51, ,0)</f>
        <v>F</v>
      </c>
      <c r="K15" t="str">
        <f>_xlfn.XLOOKUP(G15,[2]patients!$A$1:$A$51,[2]patients!$I$1:$I$51, ,0)</f>
        <v>MedCare Plus</v>
      </c>
      <c r="L15" t="str">
        <f>_xlfn.XLOOKUP(G15,[1]appointments!$B$1:$B$201,[1]appointments!$A$1:$A$201, ,0)</f>
        <v>A014</v>
      </c>
      <c r="M15" t="str">
        <f>_xlfn.XLOOKUP(G15,[1]appointments!$B$1:$B$201,[1]appointments!$F$1:$F$201, ,0)</f>
        <v>Emergency</v>
      </c>
      <c r="N15" t="str">
        <f>_xlfn.XLOOKUP(P15,[3]doctors!$A$1:$A$11,[3]doctors!$B$1:$B$11, ,0)</f>
        <v>Linda</v>
      </c>
      <c r="O15" t="str">
        <f>_xlfn.XLOOKUP(P15,[3]doctors!$A$1:$A$11,[3]doctors!$C$1:$C$11, ,0)</f>
        <v>Wilson</v>
      </c>
      <c r="P15" t="str">
        <f>_xlfn.XLOOKUP(G15,[1]appointments!$B$1:$B$201,[1]appointments!$C$1:$C$201, ,0)</f>
        <v>D010</v>
      </c>
      <c r="Q15" t="str">
        <f>_xlfn.XLOOKUP(P15,[3]doctors!$A$1:$A$11,[3]doctors!$D$1:$D$11, ,0)</f>
        <v>Oncology</v>
      </c>
      <c r="R15" t="str">
        <f>_xlfn.XLOOKUP(G15,[1]appointments!$B$1:$B$201,[1]appointments!$G$1:$G$201, ,0)</f>
        <v>Cancelled</v>
      </c>
      <c r="S15" s="1">
        <f>_xlfn.XLOOKUP(management_table[[#This Row],[ Patient Id]],[1]appointments!$B$1:$B$201,[1]appointments!$D$1:$D$201, ,0)</f>
        <v>45071</v>
      </c>
    </row>
    <row r="16" spans="1:19" x14ac:dyDescent="0.35">
      <c r="A16" t="s">
        <v>41</v>
      </c>
      <c r="B16" t="s">
        <v>42</v>
      </c>
      <c r="C16" t="s">
        <v>28</v>
      </c>
      <c r="D16" t="s">
        <v>9</v>
      </c>
      <c r="E16">
        <v>956.39</v>
      </c>
      <c r="F16" s="1">
        <v>44941</v>
      </c>
      <c r="G16" t="str">
        <f>_xlfn.XLOOKUP(B16,[1]appointments!$A$1:$A$201,[1]appointments!$B$1:$B$201, ,0)</f>
        <v>P026</v>
      </c>
      <c r="H16" t="str">
        <f>_xlfn.XLOOKUP(G16,[2]patients!$A$1:$A$51,[2]patients!$B$1:$B$51, ,0)</f>
        <v>John</v>
      </c>
      <c r="I16" t="str">
        <f>_xlfn.XLOOKUP(G16,[2]patients!$A$1:$A$51,[2]patients!$C$1:$C$51, ,0)</f>
        <v>Taylor</v>
      </c>
      <c r="J16" t="str">
        <f>_xlfn.XLOOKUP(G16,[2]patients!$A$1:$A$51,[2]patients!$D$1:$D$51, ,0)</f>
        <v>M</v>
      </c>
      <c r="K16" t="str">
        <f>_xlfn.XLOOKUP(G16,[2]patients!$A$1:$A$51,[2]patients!$I$1:$I$51, ,0)</f>
        <v>MedCare Plus</v>
      </c>
      <c r="L16" t="str">
        <f>_xlfn.XLOOKUP(G16,[1]appointments!$B$1:$B$201,[1]appointments!$A$1:$A$201, ,0)</f>
        <v>A015</v>
      </c>
      <c r="M16" t="str">
        <f>_xlfn.XLOOKUP(G16,[1]appointments!$B$1:$B$201,[1]appointments!$F$1:$F$201, ,0)</f>
        <v>Consultation</v>
      </c>
      <c r="N16" t="str">
        <f>_xlfn.XLOOKUP(P16,[3]doctors!$A$1:$A$11,[3]doctors!$B$1:$B$11, ,0)</f>
        <v>David</v>
      </c>
      <c r="O16" t="str">
        <f>_xlfn.XLOOKUP(P16,[3]doctors!$A$1:$A$11,[3]doctors!$C$1:$C$11, ,0)</f>
        <v>Jones</v>
      </c>
      <c r="P16" t="str">
        <f>_xlfn.XLOOKUP(G16,[1]appointments!$B$1:$B$201,[1]appointments!$C$1:$C$201, ,0)</f>
        <v>D004</v>
      </c>
      <c r="Q16" t="str">
        <f>_xlfn.XLOOKUP(P16,[3]doctors!$A$1:$A$11,[3]doctors!$D$1:$D$11, ,0)</f>
        <v>Pediatrics</v>
      </c>
      <c r="R16" t="str">
        <f>_xlfn.XLOOKUP(G16,[1]appointments!$B$1:$B$201,[1]appointments!$G$1:$G$201, ,0)</f>
        <v>No-show</v>
      </c>
      <c r="S16" s="1">
        <f>_xlfn.XLOOKUP(management_table[[#This Row],[ Patient Id]],[1]appointments!$B$1:$B$201,[1]appointments!$D$1:$D$201, ,0)</f>
        <v>44941</v>
      </c>
    </row>
    <row r="17" spans="1:19" x14ac:dyDescent="0.35">
      <c r="A17" t="s">
        <v>43</v>
      </c>
      <c r="B17" t="s">
        <v>44</v>
      </c>
      <c r="C17" t="s">
        <v>12</v>
      </c>
      <c r="D17" t="s">
        <v>9</v>
      </c>
      <c r="E17">
        <v>2686.42</v>
      </c>
      <c r="F17" s="1">
        <v>45107</v>
      </c>
      <c r="G17" t="str">
        <f>_xlfn.XLOOKUP(B17,[1]appointments!$A$1:$A$201,[1]appointments!$B$1:$B$201, ,0)</f>
        <v>P016</v>
      </c>
      <c r="H17" t="str">
        <f>_xlfn.XLOOKUP(G17,[2]patients!$A$1:$A$51,[2]patients!$B$1:$B$51, ,0)</f>
        <v>Michael</v>
      </c>
      <c r="I17" t="str">
        <f>_xlfn.XLOOKUP(G17,[2]patients!$A$1:$A$51,[2]patients!$C$1:$C$51, ,0)</f>
        <v>Taylor</v>
      </c>
      <c r="J17" t="str">
        <f>_xlfn.XLOOKUP(G17,[2]patients!$A$1:$A$51,[2]patients!$D$1:$D$51, ,0)</f>
        <v>M</v>
      </c>
      <c r="K17" t="str">
        <f>_xlfn.XLOOKUP(G17,[2]patients!$A$1:$A$51,[2]patients!$I$1:$I$51, ,0)</f>
        <v>PulseSecure</v>
      </c>
      <c r="L17" t="str">
        <f>_xlfn.XLOOKUP(G17,[1]appointments!$B$1:$B$201,[1]appointments!$A$1:$A$201, ,0)</f>
        <v>A008</v>
      </c>
      <c r="M17" t="str">
        <f>_xlfn.XLOOKUP(G17,[1]appointments!$B$1:$B$201,[1]appointments!$F$1:$F$201, ,0)</f>
        <v>Consultation</v>
      </c>
      <c r="N17" t="str">
        <f>_xlfn.XLOOKUP(P17,[3]doctors!$A$1:$A$11,[3]doctors!$B$1:$B$11, ,0)</f>
        <v>Linda</v>
      </c>
      <c r="O17" t="str">
        <f>_xlfn.XLOOKUP(P17,[3]doctors!$A$1:$A$11,[3]doctors!$C$1:$C$11, ,0)</f>
        <v>Wilson</v>
      </c>
      <c r="P17" t="str">
        <f>_xlfn.XLOOKUP(G17,[1]appointments!$B$1:$B$201,[1]appointments!$C$1:$C$201, ,0)</f>
        <v>D010</v>
      </c>
      <c r="Q17" t="str">
        <f>_xlfn.XLOOKUP(P17,[3]doctors!$A$1:$A$11,[3]doctors!$D$1:$D$11, ,0)</f>
        <v>Oncology</v>
      </c>
      <c r="R17" t="str">
        <f>_xlfn.XLOOKUP(G17,[1]appointments!$B$1:$B$201,[1]appointments!$G$1:$G$201, ,0)</f>
        <v>Cancelled</v>
      </c>
      <c r="S17" s="1">
        <f>_xlfn.XLOOKUP(management_table[[#This Row],[ Patient Id]],[1]appointments!$B$1:$B$201,[1]appointments!$D$1:$D$201, ,0)</f>
        <v>45070</v>
      </c>
    </row>
    <row r="18" spans="1:19" x14ac:dyDescent="0.35">
      <c r="A18" t="s">
        <v>45</v>
      </c>
      <c r="B18" t="s">
        <v>46</v>
      </c>
      <c r="C18" t="s">
        <v>12</v>
      </c>
      <c r="D18" t="s">
        <v>9</v>
      </c>
      <c r="E18">
        <v>1655.49</v>
      </c>
      <c r="F18" s="1">
        <v>45118</v>
      </c>
      <c r="G18" t="str">
        <f>_xlfn.XLOOKUP(B18,[1]appointments!$A$1:$A$201,[1]appointments!$B$1:$B$201, ,0)</f>
        <v>P037</v>
      </c>
      <c r="H18" t="str">
        <f>_xlfn.XLOOKUP(G18,[2]patients!$A$1:$A$51,[2]patients!$B$1:$B$51, ,0)</f>
        <v>Robert</v>
      </c>
      <c r="I18" t="str">
        <f>_xlfn.XLOOKUP(G18,[2]patients!$A$1:$A$51,[2]patients!$C$1:$C$51, ,0)</f>
        <v>Williams</v>
      </c>
      <c r="J18" t="str">
        <f>_xlfn.XLOOKUP(G18,[2]patients!$A$1:$A$51,[2]patients!$D$1:$D$51, ,0)</f>
        <v>M</v>
      </c>
      <c r="K18" t="str">
        <f>_xlfn.XLOOKUP(G18,[2]patients!$A$1:$A$51,[2]patients!$I$1:$I$51, ,0)</f>
        <v>HealthIndia</v>
      </c>
      <c r="L18" t="str">
        <f>_xlfn.XLOOKUP(G18,[1]appointments!$B$1:$B$201,[1]appointments!$A$1:$A$201, ,0)</f>
        <v>A017</v>
      </c>
      <c r="M18" t="str">
        <f>_xlfn.XLOOKUP(G18,[1]appointments!$B$1:$B$201,[1]appointments!$F$1:$F$201, ,0)</f>
        <v>Emergency</v>
      </c>
      <c r="N18" t="str">
        <f>_xlfn.XLOOKUP(P18,[3]doctors!$A$1:$A$11,[3]doctors!$B$1:$B$11, ,0)</f>
        <v>Sarah</v>
      </c>
      <c r="O18" t="str">
        <f>_xlfn.XLOOKUP(P18,[3]doctors!$A$1:$A$11,[3]doctors!$C$1:$C$11, ,0)</f>
        <v>Smith</v>
      </c>
      <c r="P18" t="str">
        <f>_xlfn.XLOOKUP(G18,[1]appointments!$B$1:$B$201,[1]appointments!$C$1:$C$201, ,0)</f>
        <v>D009</v>
      </c>
      <c r="Q18" t="str">
        <f>_xlfn.XLOOKUP(P18,[3]doctors!$A$1:$A$11,[3]doctors!$D$1:$D$11, ,0)</f>
        <v>Pediatrics</v>
      </c>
      <c r="R18" t="str">
        <f>_xlfn.XLOOKUP(G18,[1]appointments!$B$1:$B$201,[1]appointments!$G$1:$G$201, ,0)</f>
        <v>Scheduled</v>
      </c>
      <c r="S18" s="1">
        <f>_xlfn.XLOOKUP(management_table[[#This Row],[ Patient Id]],[1]appointments!$B$1:$B$201,[1]appointments!$D$1:$D$201, ,0)</f>
        <v>45118</v>
      </c>
    </row>
    <row r="19" spans="1:19" x14ac:dyDescent="0.35">
      <c r="A19" t="s">
        <v>47</v>
      </c>
      <c r="B19" t="s">
        <v>48</v>
      </c>
      <c r="C19" t="s">
        <v>21</v>
      </c>
      <c r="D19" t="s">
        <v>13</v>
      </c>
      <c r="E19">
        <v>1781.93</v>
      </c>
      <c r="F19" s="1">
        <v>45244</v>
      </c>
      <c r="G19" t="str">
        <f>_xlfn.XLOOKUP(B19,[1]appointments!$A$1:$A$201,[1]appointments!$B$1:$B$201, ,0)</f>
        <v>P022</v>
      </c>
      <c r="H19" t="str">
        <f>_xlfn.XLOOKUP(G19,[2]patients!$A$1:$A$51,[2]patients!$B$1:$B$51, ,0)</f>
        <v>John</v>
      </c>
      <c r="I19" t="str">
        <f>_xlfn.XLOOKUP(G19,[2]patients!$A$1:$A$51,[2]patients!$C$1:$C$51, ,0)</f>
        <v>Brown</v>
      </c>
      <c r="J19" t="str">
        <f>_xlfn.XLOOKUP(G19,[2]patients!$A$1:$A$51,[2]patients!$D$1:$D$51, ,0)</f>
        <v>M</v>
      </c>
      <c r="K19" t="str">
        <f>_xlfn.XLOOKUP(G19,[2]patients!$A$1:$A$51,[2]patients!$I$1:$I$51, ,0)</f>
        <v>MedCare Plus</v>
      </c>
      <c r="L19" t="str">
        <f>_xlfn.XLOOKUP(G19,[1]appointments!$B$1:$B$201,[1]appointments!$A$1:$A$201, ,0)</f>
        <v>A011</v>
      </c>
      <c r="M19" t="str">
        <f>_xlfn.XLOOKUP(G19,[1]appointments!$B$1:$B$201,[1]appointments!$F$1:$F$201, ,0)</f>
        <v>Checkup</v>
      </c>
      <c r="N19" t="str">
        <f>_xlfn.XLOOKUP(P19,[3]doctors!$A$1:$A$11,[3]doctors!$B$1:$B$11, ,0)</f>
        <v>Robert</v>
      </c>
      <c r="O19" t="str">
        <f>_xlfn.XLOOKUP(P19,[3]doctors!$A$1:$A$11,[3]doctors!$C$1:$C$11, ,0)</f>
        <v>Davis</v>
      </c>
      <c r="P19" t="str">
        <f>_xlfn.XLOOKUP(G19,[1]appointments!$B$1:$B$201,[1]appointments!$C$1:$C$201, ,0)</f>
        <v>D007</v>
      </c>
      <c r="Q19" t="str">
        <f>_xlfn.XLOOKUP(P19,[3]doctors!$A$1:$A$11,[3]doctors!$D$1:$D$11, ,0)</f>
        <v>Oncology</v>
      </c>
      <c r="R19" t="str">
        <f>_xlfn.XLOOKUP(G19,[1]appointments!$B$1:$B$201,[1]appointments!$G$1:$G$201, ,0)</f>
        <v>No-show</v>
      </c>
      <c r="S19" s="1">
        <f>_xlfn.XLOOKUP(management_table[[#This Row],[ Patient Id]],[1]appointments!$B$1:$B$201,[1]appointments!$D$1:$D$201, ,0)</f>
        <v>45242</v>
      </c>
    </row>
    <row r="20" spans="1:19" x14ac:dyDescent="0.35">
      <c r="A20" t="s">
        <v>49</v>
      </c>
      <c r="B20" t="s">
        <v>50</v>
      </c>
      <c r="C20" t="s">
        <v>51</v>
      </c>
      <c r="D20" t="s">
        <v>9</v>
      </c>
      <c r="E20">
        <v>1882.8</v>
      </c>
      <c r="F20" s="1">
        <v>44963</v>
      </c>
      <c r="G20" t="str">
        <f>_xlfn.XLOOKUP(B20,[1]appointments!$A$1:$A$201,[1]appointments!$B$1:$B$201, ,0)</f>
        <v>P029</v>
      </c>
      <c r="H20" t="str">
        <f>_xlfn.XLOOKUP(G20,[2]patients!$A$1:$A$51,[2]patients!$B$1:$B$51, ,0)</f>
        <v>David</v>
      </c>
      <c r="I20" t="str">
        <f>_xlfn.XLOOKUP(G20,[2]patients!$A$1:$A$51,[2]patients!$C$1:$C$51, ,0)</f>
        <v>Smith</v>
      </c>
      <c r="J20" t="str">
        <f>_xlfn.XLOOKUP(G20,[2]patients!$A$1:$A$51,[2]patients!$D$1:$D$51, ,0)</f>
        <v>M</v>
      </c>
      <c r="K20" t="str">
        <f>_xlfn.XLOOKUP(G20,[2]patients!$A$1:$A$51,[2]patients!$I$1:$I$51, ,0)</f>
        <v>HealthIndia</v>
      </c>
      <c r="L20" t="str">
        <f>_xlfn.XLOOKUP(G20,[1]appointments!$B$1:$B$201,[1]appointments!$A$1:$A$201, ,0)</f>
        <v>A012</v>
      </c>
      <c r="M20" t="str">
        <f>_xlfn.XLOOKUP(G20,[1]appointments!$B$1:$B$201,[1]appointments!$F$1:$F$201, ,0)</f>
        <v>Follow-up</v>
      </c>
      <c r="N20" t="str">
        <f>_xlfn.XLOOKUP(P20,[3]doctors!$A$1:$A$11,[3]doctors!$B$1:$B$11, ,0)</f>
        <v>Jane</v>
      </c>
      <c r="O20" t="str">
        <f>_xlfn.XLOOKUP(P20,[3]doctors!$A$1:$A$11,[3]doctors!$C$1:$C$11, ,0)</f>
        <v>Smith</v>
      </c>
      <c r="P20" t="str">
        <f>_xlfn.XLOOKUP(G20,[1]appointments!$B$1:$B$201,[1]appointments!$C$1:$C$201, ,0)</f>
        <v>D003</v>
      </c>
      <c r="Q20" t="str">
        <f>_xlfn.XLOOKUP(P20,[3]doctors!$A$1:$A$11,[3]doctors!$D$1:$D$11, ,0)</f>
        <v>Pediatrics</v>
      </c>
      <c r="R20" t="str">
        <f>_xlfn.XLOOKUP(G20,[1]appointments!$B$1:$B$201,[1]appointments!$G$1:$G$201, ,0)</f>
        <v>Completed</v>
      </c>
      <c r="S20" s="1">
        <f>_xlfn.XLOOKUP(management_table[[#This Row],[ Patient Id]],[1]appointments!$B$1:$B$201,[1]appointments!$D$1:$D$201, ,0)</f>
        <v>45053</v>
      </c>
    </row>
    <row r="21" spans="1:19" x14ac:dyDescent="0.35">
      <c r="A21" t="s">
        <v>52</v>
      </c>
      <c r="B21" t="s">
        <v>53</v>
      </c>
      <c r="C21" t="s">
        <v>8</v>
      </c>
      <c r="D21" t="s">
        <v>13</v>
      </c>
      <c r="E21">
        <v>4113.62</v>
      </c>
      <c r="F21" s="1">
        <v>45265</v>
      </c>
      <c r="G21" t="str">
        <f>_xlfn.XLOOKUP(B21,[1]appointments!$A$1:$A$201,[1]appointments!$B$1:$B$201, ,0)</f>
        <v>P014</v>
      </c>
      <c r="H21" t="str">
        <f>_xlfn.XLOOKUP(G21,[2]patients!$A$1:$A$51,[2]patients!$B$1:$B$51, ,0)</f>
        <v>Alex</v>
      </c>
      <c r="I21" t="str">
        <f>_xlfn.XLOOKUP(G21,[2]patients!$A$1:$A$51,[2]patients!$C$1:$C$51, ,0)</f>
        <v>Taylor</v>
      </c>
      <c r="J21" t="str">
        <f>_xlfn.XLOOKUP(G21,[2]patients!$A$1:$A$51,[2]patients!$D$1:$D$51, ,0)</f>
        <v>M</v>
      </c>
      <c r="K21" t="str">
        <f>_xlfn.XLOOKUP(G21,[2]patients!$A$1:$A$51,[2]patients!$I$1:$I$51, ,0)</f>
        <v>MedCare Plus</v>
      </c>
      <c r="L21" t="str">
        <f>_xlfn.XLOOKUP(G21,[1]appointments!$B$1:$B$201,[1]appointments!$A$1:$A$201, ,0)</f>
        <v>A020</v>
      </c>
      <c r="M21" t="str">
        <f>_xlfn.XLOOKUP(G21,[1]appointments!$B$1:$B$201,[1]appointments!$F$1:$F$201, ,0)</f>
        <v>Consultation</v>
      </c>
      <c r="N21" t="str">
        <f>_xlfn.XLOOKUP(P21,[3]doctors!$A$1:$A$11,[3]doctors!$B$1:$B$11, ,0)</f>
        <v>Jane</v>
      </c>
      <c r="O21" t="str">
        <f>_xlfn.XLOOKUP(P21,[3]doctors!$A$1:$A$11,[3]doctors!$C$1:$C$11, ,0)</f>
        <v>Smith</v>
      </c>
      <c r="P21" t="str">
        <f>_xlfn.XLOOKUP(G21,[1]appointments!$B$1:$B$201,[1]appointments!$C$1:$C$201, ,0)</f>
        <v>D003</v>
      </c>
      <c r="Q21" t="str">
        <f>_xlfn.XLOOKUP(P21,[3]doctors!$A$1:$A$11,[3]doctors!$D$1:$D$11, ,0)</f>
        <v>Pediatrics</v>
      </c>
      <c r="R21" t="str">
        <f>_xlfn.XLOOKUP(G21,[1]appointments!$B$1:$B$201,[1]appointments!$G$1:$G$201, ,0)</f>
        <v>Completed</v>
      </c>
      <c r="S21" s="1">
        <f>_xlfn.XLOOKUP(management_table[[#This Row],[ Patient Id]],[1]appointments!$B$1:$B$201,[1]appointments!$D$1:$D$201, ,0)</f>
        <v>45265</v>
      </c>
    </row>
    <row r="22" spans="1:19" x14ac:dyDescent="0.35">
      <c r="A22" t="s">
        <v>54</v>
      </c>
      <c r="B22" t="s">
        <v>55</v>
      </c>
      <c r="C22" t="s">
        <v>51</v>
      </c>
      <c r="D22" t="s">
        <v>13</v>
      </c>
      <c r="E22">
        <v>2926.23</v>
      </c>
      <c r="F22" s="1">
        <v>45040</v>
      </c>
      <c r="G22" t="str">
        <f>_xlfn.XLOOKUP(B22,[1]appointments!$A$1:$A$201,[1]appointments!$B$1:$B$201, ,0)</f>
        <v>P028</v>
      </c>
      <c r="H22" t="str">
        <f>_xlfn.XLOOKUP(G22,[2]patients!$A$1:$A$51,[2]patients!$B$1:$B$51, ,0)</f>
        <v>Alex</v>
      </c>
      <c r="I22" t="str">
        <f>_xlfn.XLOOKUP(G22,[2]patients!$A$1:$A$51,[2]patients!$C$1:$C$51, ,0)</f>
        <v>Moore</v>
      </c>
      <c r="J22" t="str">
        <f>_xlfn.XLOOKUP(G22,[2]patients!$A$1:$A$51,[2]patients!$D$1:$D$51, ,0)</f>
        <v>M</v>
      </c>
      <c r="K22" t="str">
        <f>_xlfn.XLOOKUP(G22,[2]patients!$A$1:$A$51,[2]patients!$I$1:$I$51, ,0)</f>
        <v>MedCare Plus</v>
      </c>
      <c r="L22" t="str">
        <f>_xlfn.XLOOKUP(G22,[1]appointments!$B$1:$B$201,[1]appointments!$A$1:$A$201, ,0)</f>
        <v>A021</v>
      </c>
      <c r="M22" t="str">
        <f>_xlfn.XLOOKUP(G22,[1]appointments!$B$1:$B$201,[1]appointments!$F$1:$F$201, ,0)</f>
        <v>Therapy</v>
      </c>
      <c r="N22" t="str">
        <f>_xlfn.XLOOKUP(P22,[3]doctors!$A$1:$A$11,[3]doctors!$B$1:$B$11, ,0)</f>
        <v>Sarah</v>
      </c>
      <c r="O22" t="str">
        <f>_xlfn.XLOOKUP(P22,[3]doctors!$A$1:$A$11,[3]doctors!$C$1:$C$11, ,0)</f>
        <v>Smith</v>
      </c>
      <c r="P22" t="str">
        <f>_xlfn.XLOOKUP(G22,[1]appointments!$B$1:$B$201,[1]appointments!$C$1:$C$201, ,0)</f>
        <v>D009</v>
      </c>
      <c r="Q22" t="str">
        <f>_xlfn.XLOOKUP(P22,[3]doctors!$A$1:$A$11,[3]doctors!$D$1:$D$11, ,0)</f>
        <v>Pediatrics</v>
      </c>
      <c r="R22" t="str">
        <f>_xlfn.XLOOKUP(G22,[1]appointments!$B$1:$B$201,[1]appointments!$G$1:$G$201, ,0)</f>
        <v>No-show</v>
      </c>
      <c r="S22" s="1">
        <f>_xlfn.XLOOKUP(management_table[[#This Row],[ Patient Id]],[1]appointments!$B$1:$B$201,[1]appointments!$D$1:$D$201, ,0)</f>
        <v>45040</v>
      </c>
    </row>
    <row r="23" spans="1:19" x14ac:dyDescent="0.35">
      <c r="A23" t="s">
        <v>56</v>
      </c>
      <c r="B23" t="s">
        <v>57</v>
      </c>
      <c r="C23" t="s">
        <v>28</v>
      </c>
      <c r="D23" t="s">
        <v>13</v>
      </c>
      <c r="E23">
        <v>1900.88</v>
      </c>
      <c r="F23" s="1">
        <v>45244</v>
      </c>
      <c r="G23" t="str">
        <f>_xlfn.XLOOKUP(B23,[1]appointments!$A$1:$A$201,[1]appointments!$B$1:$B$201, ,0)</f>
        <v>P005</v>
      </c>
      <c r="H23" t="str">
        <f>_xlfn.XLOOKUP(G23,[2]patients!$A$1:$A$51,[2]patients!$B$1:$B$51, ,0)</f>
        <v>David</v>
      </c>
      <c r="I23" t="str">
        <f>_xlfn.XLOOKUP(G23,[2]patients!$A$1:$A$51,[2]patients!$C$1:$C$51, ,0)</f>
        <v>Wilson</v>
      </c>
      <c r="J23" t="str">
        <f>_xlfn.XLOOKUP(G23,[2]patients!$A$1:$A$51,[2]patients!$D$1:$D$51, ,0)</f>
        <v>M</v>
      </c>
      <c r="K23" t="str">
        <f>_xlfn.XLOOKUP(G23,[2]patients!$A$1:$A$51,[2]patients!$I$1:$I$51, ,0)</f>
        <v>MedCare Plus</v>
      </c>
      <c r="L23" t="str">
        <f>_xlfn.XLOOKUP(G23,[1]appointments!$B$1:$B$201,[1]appointments!$A$1:$A$201, ,0)</f>
        <v>A010</v>
      </c>
      <c r="M23" t="str">
        <f>_xlfn.XLOOKUP(G23,[1]appointments!$B$1:$B$201,[1]appointments!$F$1:$F$201, ,0)</f>
        <v>Therapy</v>
      </c>
      <c r="N23" t="str">
        <f>_xlfn.XLOOKUP(P23,[3]doctors!$A$1:$A$11,[3]doctors!$B$1:$B$11, ,0)</f>
        <v>Jane</v>
      </c>
      <c r="O23" t="str">
        <f>_xlfn.XLOOKUP(P23,[3]doctors!$A$1:$A$11,[3]doctors!$C$1:$C$11, ,0)</f>
        <v>Smith</v>
      </c>
      <c r="P23" t="str">
        <f>_xlfn.XLOOKUP(G23,[1]appointments!$B$1:$B$201,[1]appointments!$C$1:$C$201, ,0)</f>
        <v>D003</v>
      </c>
      <c r="Q23" t="str">
        <f>_xlfn.XLOOKUP(P23,[3]doctors!$A$1:$A$11,[3]doctors!$D$1:$D$11, ,0)</f>
        <v>Pediatrics</v>
      </c>
      <c r="R23" t="str">
        <f>_xlfn.XLOOKUP(G23,[1]appointments!$B$1:$B$201,[1]appointments!$G$1:$G$201, ,0)</f>
        <v>Completed</v>
      </c>
      <c r="S23" s="1">
        <f>_xlfn.XLOOKUP(management_table[[#This Row],[ Patient Id]],[1]appointments!$B$1:$B$201,[1]appointments!$D$1:$D$201, ,0)</f>
        <v>44939</v>
      </c>
    </row>
    <row r="24" spans="1:19" x14ac:dyDescent="0.35">
      <c r="A24" t="s">
        <v>58</v>
      </c>
      <c r="B24" t="s">
        <v>59</v>
      </c>
      <c r="C24" t="s">
        <v>12</v>
      </c>
      <c r="D24" t="s">
        <v>16</v>
      </c>
      <c r="E24">
        <v>3246.5</v>
      </c>
      <c r="F24" s="1">
        <v>45055</v>
      </c>
      <c r="G24" t="str">
        <f>_xlfn.XLOOKUP(B24,[1]appointments!$A$1:$A$201,[1]appointments!$B$1:$B$201, ,0)</f>
        <v>P047</v>
      </c>
      <c r="H24" t="str">
        <f>_xlfn.XLOOKUP(G24,[2]patients!$A$1:$A$51,[2]patients!$B$1:$B$51, ,0)</f>
        <v>Jane</v>
      </c>
      <c r="I24" t="str">
        <f>_xlfn.XLOOKUP(G24,[2]patients!$A$1:$A$51,[2]patients!$C$1:$C$51, ,0)</f>
        <v>Moore</v>
      </c>
      <c r="J24" t="str">
        <f>_xlfn.XLOOKUP(G24,[2]patients!$A$1:$A$51,[2]patients!$D$1:$D$51, ,0)</f>
        <v>M</v>
      </c>
      <c r="K24" t="str">
        <f>_xlfn.XLOOKUP(G24,[2]patients!$A$1:$A$51,[2]patients!$I$1:$I$51, ,0)</f>
        <v>WellnessCorp</v>
      </c>
      <c r="L24" t="str">
        <f>_xlfn.XLOOKUP(G24,[1]appointments!$B$1:$B$201,[1]appointments!$A$1:$A$201, ,0)</f>
        <v>A023</v>
      </c>
      <c r="M24" t="str">
        <f>_xlfn.XLOOKUP(G24,[1]appointments!$B$1:$B$201,[1]appointments!$F$1:$F$201, ,0)</f>
        <v>Follow-up</v>
      </c>
      <c r="N24" t="str">
        <f>_xlfn.XLOOKUP(P24,[3]doctors!$A$1:$A$11,[3]doctors!$B$1:$B$11, ,0)</f>
        <v>Sarah</v>
      </c>
      <c r="O24" t="str">
        <f>_xlfn.XLOOKUP(P24,[3]doctors!$A$1:$A$11,[3]doctors!$C$1:$C$11, ,0)</f>
        <v>Smith</v>
      </c>
      <c r="P24" t="str">
        <f>_xlfn.XLOOKUP(G24,[1]appointments!$B$1:$B$201,[1]appointments!$C$1:$C$201, ,0)</f>
        <v>D009</v>
      </c>
      <c r="Q24" t="str">
        <f>_xlfn.XLOOKUP(P24,[3]doctors!$A$1:$A$11,[3]doctors!$D$1:$D$11, ,0)</f>
        <v>Pediatrics</v>
      </c>
      <c r="R24" t="str">
        <f>_xlfn.XLOOKUP(G24,[1]appointments!$B$1:$B$201,[1]appointments!$G$1:$G$201, ,0)</f>
        <v>Cancelled</v>
      </c>
      <c r="S24" s="1">
        <f>_xlfn.XLOOKUP(management_table[[#This Row],[ Patient Id]],[1]appointments!$B$1:$B$201,[1]appointments!$D$1:$D$201, ,0)</f>
        <v>45055</v>
      </c>
    </row>
    <row r="25" spans="1:19" x14ac:dyDescent="0.35">
      <c r="A25" t="s">
        <v>60</v>
      </c>
      <c r="B25" t="s">
        <v>61</v>
      </c>
      <c r="C25" t="s">
        <v>21</v>
      </c>
      <c r="D25" t="s">
        <v>13</v>
      </c>
      <c r="E25">
        <v>3722.68</v>
      </c>
      <c r="F25" s="1">
        <v>45098</v>
      </c>
      <c r="G25" t="str">
        <f>_xlfn.XLOOKUP(B25,[1]appointments!$A$1:$A$201,[1]appointments!$B$1:$B$201, ,0)</f>
        <v>P049</v>
      </c>
      <c r="H25" t="str">
        <f>_xlfn.XLOOKUP(G25,[2]patients!$A$1:$A$51,[2]patients!$B$1:$B$51, ,0)</f>
        <v>David</v>
      </c>
      <c r="I25" t="str">
        <f>_xlfn.XLOOKUP(G25,[2]patients!$A$1:$A$51,[2]patients!$C$1:$C$51, ,0)</f>
        <v>Moore</v>
      </c>
      <c r="J25" t="str">
        <f>_xlfn.XLOOKUP(G25,[2]patients!$A$1:$A$51,[2]patients!$D$1:$D$51, ,0)</f>
        <v>M</v>
      </c>
      <c r="K25" t="str">
        <f>_xlfn.XLOOKUP(G25,[2]patients!$A$1:$A$51,[2]patients!$I$1:$I$51, ,0)</f>
        <v>MedCare Plus</v>
      </c>
      <c r="L25" t="str">
        <f>_xlfn.XLOOKUP(G25,[1]appointments!$B$1:$B$201,[1]appointments!$A$1:$A$201, ,0)</f>
        <v>A024</v>
      </c>
      <c r="M25" t="str">
        <f>_xlfn.XLOOKUP(G25,[1]appointments!$B$1:$B$201,[1]appointments!$F$1:$F$201, ,0)</f>
        <v>Checkup</v>
      </c>
      <c r="N25" t="str">
        <f>_xlfn.XLOOKUP(P25,[3]doctors!$A$1:$A$11,[3]doctors!$B$1:$B$11, ,0)</f>
        <v>Linda</v>
      </c>
      <c r="O25" t="str">
        <f>_xlfn.XLOOKUP(P25,[3]doctors!$A$1:$A$11,[3]doctors!$C$1:$C$11, ,0)</f>
        <v>Brown</v>
      </c>
      <c r="P25" t="str">
        <f>_xlfn.XLOOKUP(G25,[1]appointments!$B$1:$B$201,[1]appointments!$C$1:$C$201, ,0)</f>
        <v>D008</v>
      </c>
      <c r="Q25" t="str">
        <f>_xlfn.XLOOKUP(P25,[3]doctors!$A$1:$A$11,[3]doctors!$D$1:$D$11, ,0)</f>
        <v>Dermatology</v>
      </c>
      <c r="R25" t="str">
        <f>_xlfn.XLOOKUP(G25,[1]appointments!$B$1:$B$201,[1]appointments!$G$1:$G$201, ,0)</f>
        <v>Completed</v>
      </c>
      <c r="S25" s="1">
        <f>_xlfn.XLOOKUP(management_table[[#This Row],[ Patient Id]],[1]appointments!$B$1:$B$201,[1]appointments!$D$1:$D$201, ,0)</f>
        <v>45098</v>
      </c>
    </row>
    <row r="26" spans="1:19" x14ac:dyDescent="0.35">
      <c r="A26" t="s">
        <v>62</v>
      </c>
      <c r="B26" t="s">
        <v>63</v>
      </c>
      <c r="C26" t="s">
        <v>21</v>
      </c>
      <c r="D26" t="s">
        <v>13</v>
      </c>
      <c r="E26">
        <v>1726.81</v>
      </c>
      <c r="F26" s="1">
        <v>44982</v>
      </c>
      <c r="G26" t="str">
        <f>_xlfn.XLOOKUP(B26,[1]appointments!$A$1:$A$201,[1]appointments!$B$1:$B$201, ,0)</f>
        <v>P030</v>
      </c>
      <c r="H26" t="str">
        <f>_xlfn.XLOOKUP(G26,[2]patients!$A$1:$A$51,[2]patients!$B$1:$B$51, ,0)</f>
        <v>Emily</v>
      </c>
      <c r="I26" t="str">
        <f>_xlfn.XLOOKUP(G26,[2]patients!$A$1:$A$51,[2]patients!$C$1:$C$51, ,0)</f>
        <v>Moore</v>
      </c>
      <c r="J26" t="str">
        <f>_xlfn.XLOOKUP(G26,[2]patients!$A$1:$A$51,[2]patients!$D$1:$D$51, ,0)</f>
        <v>M</v>
      </c>
      <c r="K26" t="str">
        <f>_xlfn.XLOOKUP(G26,[2]patients!$A$1:$A$51,[2]patients!$I$1:$I$51, ,0)</f>
        <v>PulseSecure</v>
      </c>
      <c r="L26" t="str">
        <f>_xlfn.XLOOKUP(G26,[1]appointments!$B$1:$B$201,[1]appointments!$A$1:$A$201, ,0)</f>
        <v>A025</v>
      </c>
      <c r="M26" t="str">
        <f>_xlfn.XLOOKUP(G26,[1]appointments!$B$1:$B$201,[1]appointments!$F$1:$F$201, ,0)</f>
        <v>Follow-up</v>
      </c>
      <c r="N26" t="str">
        <f>_xlfn.XLOOKUP(P26,[3]doctors!$A$1:$A$11,[3]doctors!$B$1:$B$11, ,0)</f>
        <v>David</v>
      </c>
      <c r="O26" t="str">
        <f>_xlfn.XLOOKUP(P26,[3]doctors!$A$1:$A$11,[3]doctors!$C$1:$C$11, ,0)</f>
        <v>Taylor</v>
      </c>
      <c r="P26" t="str">
        <f>_xlfn.XLOOKUP(G26,[1]appointments!$B$1:$B$201,[1]appointments!$C$1:$C$201, ,0)</f>
        <v>D001</v>
      </c>
      <c r="Q26" t="str">
        <f>_xlfn.XLOOKUP(P26,[3]doctors!$A$1:$A$11,[3]doctors!$D$1:$D$11, ,0)</f>
        <v>Dermatology</v>
      </c>
      <c r="R26" t="str">
        <f>_xlfn.XLOOKUP(G26,[1]appointments!$B$1:$B$201,[1]appointments!$G$1:$G$201, ,0)</f>
        <v>No-show</v>
      </c>
      <c r="S26" s="1">
        <f>_xlfn.XLOOKUP(management_table[[#This Row],[ Patient Id]],[1]appointments!$B$1:$B$201,[1]appointments!$D$1:$D$201, ,0)</f>
        <v>44982</v>
      </c>
    </row>
    <row r="27" spans="1:19" x14ac:dyDescent="0.35">
      <c r="A27" t="s">
        <v>64</v>
      </c>
      <c r="B27" t="s">
        <v>65</v>
      </c>
      <c r="C27" t="s">
        <v>8</v>
      </c>
      <c r="D27" t="s">
        <v>16</v>
      </c>
      <c r="E27">
        <v>2360.9699999999998</v>
      </c>
      <c r="F27" s="1">
        <v>45002</v>
      </c>
      <c r="G27" t="str">
        <f>_xlfn.XLOOKUP(B27,[1]appointments!$A$1:$A$201,[1]appointments!$B$1:$B$201, ,0)</f>
        <v>P046</v>
      </c>
      <c r="H27" t="str">
        <f>_xlfn.XLOOKUP(G27,[2]patients!$A$1:$A$51,[2]patients!$B$1:$B$51, ,0)</f>
        <v>Michael</v>
      </c>
      <c r="I27" t="str">
        <f>_xlfn.XLOOKUP(G27,[2]patients!$A$1:$A$51,[2]patients!$C$1:$C$51, ,0)</f>
        <v>Taylor</v>
      </c>
      <c r="J27" t="str">
        <f>_xlfn.XLOOKUP(G27,[2]patients!$A$1:$A$51,[2]patients!$D$1:$D$51, ,0)</f>
        <v>F</v>
      </c>
      <c r="K27" t="str">
        <f>_xlfn.XLOOKUP(G27,[2]patients!$A$1:$A$51,[2]patients!$I$1:$I$51, ,0)</f>
        <v>MedCare Plus</v>
      </c>
      <c r="L27" t="str">
        <f>_xlfn.XLOOKUP(G27,[1]appointments!$B$1:$B$201,[1]appointments!$A$1:$A$201, ,0)</f>
        <v>A026</v>
      </c>
      <c r="M27" t="str">
        <f>_xlfn.XLOOKUP(G27,[1]appointments!$B$1:$B$201,[1]appointments!$F$1:$F$201, ,0)</f>
        <v>Follow-up</v>
      </c>
      <c r="N27" t="str">
        <f>_xlfn.XLOOKUP(P27,[3]doctors!$A$1:$A$11,[3]doctors!$B$1:$B$11, ,0)</f>
        <v>Alex</v>
      </c>
      <c r="O27" t="str">
        <f>_xlfn.XLOOKUP(P27,[3]doctors!$A$1:$A$11,[3]doctors!$C$1:$C$11, ,0)</f>
        <v>Davis</v>
      </c>
      <c r="P27" t="str">
        <f>_xlfn.XLOOKUP(G27,[1]appointments!$B$1:$B$201,[1]appointments!$C$1:$C$201, ,0)</f>
        <v>D006</v>
      </c>
      <c r="Q27" t="str">
        <f>_xlfn.XLOOKUP(P27,[3]doctors!$A$1:$A$11,[3]doctors!$D$1:$D$11, ,0)</f>
        <v>Pediatrics</v>
      </c>
      <c r="R27" t="str">
        <f>_xlfn.XLOOKUP(G27,[1]appointments!$B$1:$B$201,[1]appointments!$G$1:$G$201, ,0)</f>
        <v>Cancelled</v>
      </c>
      <c r="S27" s="1">
        <f>_xlfn.XLOOKUP(management_table[[#This Row],[ Patient Id]],[1]appointments!$B$1:$B$201,[1]appointments!$D$1:$D$201, ,0)</f>
        <v>45002</v>
      </c>
    </row>
    <row r="28" spans="1:19" x14ac:dyDescent="0.35">
      <c r="A28" t="s">
        <v>66</v>
      </c>
      <c r="B28" t="s">
        <v>67</v>
      </c>
      <c r="C28" t="s">
        <v>51</v>
      </c>
      <c r="D28" t="s">
        <v>16</v>
      </c>
      <c r="E28">
        <v>1048.49</v>
      </c>
      <c r="F28" s="1">
        <v>45244</v>
      </c>
      <c r="G28" t="str">
        <f>_xlfn.XLOOKUP(B28,[1]appointments!$A$1:$A$201,[1]appointments!$B$1:$B$201, ,0)</f>
        <v>P005</v>
      </c>
      <c r="H28" t="str">
        <f>_xlfn.XLOOKUP(G28,[2]patients!$A$1:$A$51,[2]patients!$B$1:$B$51, ,0)</f>
        <v>David</v>
      </c>
      <c r="I28" t="str">
        <f>_xlfn.XLOOKUP(G28,[2]patients!$A$1:$A$51,[2]patients!$C$1:$C$51, ,0)</f>
        <v>Wilson</v>
      </c>
      <c r="J28" t="str">
        <f>_xlfn.XLOOKUP(G28,[2]patients!$A$1:$A$51,[2]patients!$D$1:$D$51, ,0)</f>
        <v>M</v>
      </c>
      <c r="K28" t="str">
        <f>_xlfn.XLOOKUP(G28,[2]patients!$A$1:$A$51,[2]patients!$I$1:$I$51, ,0)</f>
        <v>MedCare Plus</v>
      </c>
      <c r="L28" t="str">
        <f>_xlfn.XLOOKUP(G28,[1]appointments!$B$1:$B$201,[1]appointments!$A$1:$A$201, ,0)</f>
        <v>A010</v>
      </c>
      <c r="M28" t="str">
        <f>_xlfn.XLOOKUP(G28,[1]appointments!$B$1:$B$201,[1]appointments!$F$1:$F$201, ,0)</f>
        <v>Therapy</v>
      </c>
      <c r="N28" t="str">
        <f>_xlfn.XLOOKUP(P28,[3]doctors!$A$1:$A$11,[3]doctors!$B$1:$B$11, ,0)</f>
        <v>Jane</v>
      </c>
      <c r="O28" t="str">
        <f>_xlfn.XLOOKUP(P28,[3]doctors!$A$1:$A$11,[3]doctors!$C$1:$C$11, ,0)</f>
        <v>Smith</v>
      </c>
      <c r="P28" t="str">
        <f>_xlfn.XLOOKUP(G28,[1]appointments!$B$1:$B$201,[1]appointments!$C$1:$C$201, ,0)</f>
        <v>D003</v>
      </c>
      <c r="Q28" t="str">
        <f>_xlfn.XLOOKUP(P28,[3]doctors!$A$1:$A$11,[3]doctors!$D$1:$D$11, ,0)</f>
        <v>Pediatrics</v>
      </c>
      <c r="R28" t="str">
        <f>_xlfn.XLOOKUP(G28,[1]appointments!$B$1:$B$201,[1]appointments!$G$1:$G$201, ,0)</f>
        <v>Completed</v>
      </c>
      <c r="S28" s="1">
        <f>_xlfn.XLOOKUP(management_table[[#This Row],[ Patient Id]],[1]appointments!$B$1:$B$201,[1]appointments!$D$1:$D$201, ,0)</f>
        <v>44939</v>
      </c>
    </row>
    <row r="29" spans="1:19" x14ac:dyDescent="0.35">
      <c r="A29" t="s">
        <v>68</v>
      </c>
      <c r="B29" t="s">
        <v>69</v>
      </c>
      <c r="C29" t="s">
        <v>8</v>
      </c>
      <c r="D29" t="s">
        <v>16</v>
      </c>
      <c r="E29">
        <v>1315.17</v>
      </c>
      <c r="F29" s="1">
        <v>45228</v>
      </c>
      <c r="G29" t="str">
        <f>_xlfn.XLOOKUP(B29,[1]appointments!$A$1:$A$201,[1]appointments!$B$1:$B$201, ,0)</f>
        <v>P012</v>
      </c>
      <c r="H29" t="str">
        <f>_xlfn.XLOOKUP(G29,[2]patients!$A$1:$A$51,[2]patients!$B$1:$B$51, ,0)</f>
        <v>Laura</v>
      </c>
      <c r="I29" t="str">
        <f>_xlfn.XLOOKUP(G29,[2]patients!$A$1:$A$51,[2]patients!$C$1:$C$51, ,0)</f>
        <v>Davis</v>
      </c>
      <c r="J29" t="str">
        <f>_xlfn.XLOOKUP(G29,[2]patients!$A$1:$A$51,[2]patients!$D$1:$D$51, ,0)</f>
        <v>F</v>
      </c>
      <c r="K29" t="str">
        <f>_xlfn.XLOOKUP(G29,[2]patients!$A$1:$A$51,[2]patients!$I$1:$I$51, ,0)</f>
        <v>MedCare Plus</v>
      </c>
      <c r="L29" t="str">
        <f>_xlfn.XLOOKUP(G29,[1]appointments!$B$1:$B$201,[1]appointments!$A$1:$A$201, ,0)</f>
        <v>A014</v>
      </c>
      <c r="M29" t="str">
        <f>_xlfn.XLOOKUP(G29,[1]appointments!$B$1:$B$201,[1]appointments!$F$1:$F$201, ,0)</f>
        <v>Emergency</v>
      </c>
      <c r="N29" t="str">
        <f>_xlfn.XLOOKUP(P29,[3]doctors!$A$1:$A$11,[3]doctors!$B$1:$B$11, ,0)</f>
        <v>Linda</v>
      </c>
      <c r="O29" t="str">
        <f>_xlfn.XLOOKUP(P29,[3]doctors!$A$1:$A$11,[3]doctors!$C$1:$C$11, ,0)</f>
        <v>Wilson</v>
      </c>
      <c r="P29" t="str">
        <f>_xlfn.XLOOKUP(G29,[1]appointments!$B$1:$B$201,[1]appointments!$C$1:$C$201, ,0)</f>
        <v>D010</v>
      </c>
      <c r="Q29" t="str">
        <f>_xlfn.XLOOKUP(P29,[3]doctors!$A$1:$A$11,[3]doctors!$D$1:$D$11, ,0)</f>
        <v>Oncology</v>
      </c>
      <c r="R29" t="str">
        <f>_xlfn.XLOOKUP(G29,[1]appointments!$B$1:$B$201,[1]appointments!$G$1:$G$201, ,0)</f>
        <v>Cancelled</v>
      </c>
      <c r="S29" s="1">
        <f>_xlfn.XLOOKUP(management_table[[#This Row],[ Patient Id]],[1]appointments!$B$1:$B$201,[1]appointments!$D$1:$D$201, ,0)</f>
        <v>45071</v>
      </c>
    </row>
    <row r="30" spans="1:19" x14ac:dyDescent="0.35">
      <c r="A30" t="s">
        <v>70</v>
      </c>
      <c r="B30" t="s">
        <v>71</v>
      </c>
      <c r="C30" t="s">
        <v>12</v>
      </c>
      <c r="D30" t="s">
        <v>9</v>
      </c>
      <c r="E30">
        <v>3565.03</v>
      </c>
      <c r="F30" s="1">
        <v>45102</v>
      </c>
      <c r="G30" t="str">
        <f>_xlfn.XLOOKUP(B30,[1]appointments!$A$1:$A$201,[1]appointments!$B$1:$B$201, ,0)</f>
        <v>P016</v>
      </c>
      <c r="H30" t="str">
        <f>_xlfn.XLOOKUP(G30,[2]patients!$A$1:$A$51,[2]patients!$B$1:$B$51, ,0)</f>
        <v>Michael</v>
      </c>
      <c r="I30" t="str">
        <f>_xlfn.XLOOKUP(G30,[2]patients!$A$1:$A$51,[2]patients!$C$1:$C$51, ,0)</f>
        <v>Taylor</v>
      </c>
      <c r="J30" t="str">
        <f>_xlfn.XLOOKUP(G30,[2]patients!$A$1:$A$51,[2]patients!$D$1:$D$51, ,0)</f>
        <v>M</v>
      </c>
      <c r="K30" t="str">
        <f>_xlfn.XLOOKUP(G30,[2]patients!$A$1:$A$51,[2]patients!$I$1:$I$51, ,0)</f>
        <v>PulseSecure</v>
      </c>
      <c r="L30" t="str">
        <f>_xlfn.XLOOKUP(G30,[1]appointments!$B$1:$B$201,[1]appointments!$A$1:$A$201, ,0)</f>
        <v>A008</v>
      </c>
      <c r="M30" t="str">
        <f>_xlfn.XLOOKUP(G30,[1]appointments!$B$1:$B$201,[1]appointments!$F$1:$F$201, ,0)</f>
        <v>Consultation</v>
      </c>
      <c r="N30" t="str">
        <f>_xlfn.XLOOKUP(P30,[3]doctors!$A$1:$A$11,[3]doctors!$B$1:$B$11, ,0)</f>
        <v>Linda</v>
      </c>
      <c r="O30" t="str">
        <f>_xlfn.XLOOKUP(P30,[3]doctors!$A$1:$A$11,[3]doctors!$C$1:$C$11, ,0)</f>
        <v>Wilson</v>
      </c>
      <c r="P30" t="str">
        <f>_xlfn.XLOOKUP(G30,[1]appointments!$B$1:$B$201,[1]appointments!$C$1:$C$201, ,0)</f>
        <v>D010</v>
      </c>
      <c r="Q30" t="str">
        <f>_xlfn.XLOOKUP(P30,[3]doctors!$A$1:$A$11,[3]doctors!$D$1:$D$11, ,0)</f>
        <v>Oncology</v>
      </c>
      <c r="R30" t="str">
        <f>_xlfn.XLOOKUP(G30,[1]appointments!$B$1:$B$201,[1]appointments!$G$1:$G$201, ,0)</f>
        <v>Cancelled</v>
      </c>
      <c r="S30" s="1">
        <f>_xlfn.XLOOKUP(management_table[[#This Row],[ Patient Id]],[1]appointments!$B$1:$B$201,[1]appointments!$D$1:$D$201, ,0)</f>
        <v>45070</v>
      </c>
    </row>
    <row r="31" spans="1:19" x14ac:dyDescent="0.35">
      <c r="A31" t="s">
        <v>72</v>
      </c>
      <c r="B31" t="s">
        <v>73</v>
      </c>
      <c r="C31" t="s">
        <v>8</v>
      </c>
      <c r="D31" t="s">
        <v>16</v>
      </c>
      <c r="E31">
        <v>1316.47</v>
      </c>
      <c r="F31" s="1">
        <v>45167</v>
      </c>
      <c r="G31" t="str">
        <f>_xlfn.XLOOKUP(B31,[1]appointments!$A$1:$A$201,[1]appointments!$B$1:$B$201, ,0)</f>
        <v>P026</v>
      </c>
      <c r="H31" t="str">
        <f>_xlfn.XLOOKUP(G31,[2]patients!$A$1:$A$51,[2]patients!$B$1:$B$51, ,0)</f>
        <v>John</v>
      </c>
      <c r="I31" t="str">
        <f>_xlfn.XLOOKUP(G31,[2]patients!$A$1:$A$51,[2]patients!$C$1:$C$51, ,0)</f>
        <v>Taylor</v>
      </c>
      <c r="J31" t="str">
        <f>_xlfn.XLOOKUP(G31,[2]patients!$A$1:$A$51,[2]patients!$D$1:$D$51, ,0)</f>
        <v>M</v>
      </c>
      <c r="K31" t="str">
        <f>_xlfn.XLOOKUP(G31,[2]patients!$A$1:$A$51,[2]patients!$I$1:$I$51, ,0)</f>
        <v>MedCare Plus</v>
      </c>
      <c r="L31" t="str">
        <f>_xlfn.XLOOKUP(G31,[1]appointments!$B$1:$B$201,[1]appointments!$A$1:$A$201, ,0)</f>
        <v>A015</v>
      </c>
      <c r="M31" t="str">
        <f>_xlfn.XLOOKUP(G31,[1]appointments!$B$1:$B$201,[1]appointments!$F$1:$F$201, ,0)</f>
        <v>Consultation</v>
      </c>
      <c r="N31" t="str">
        <f>_xlfn.XLOOKUP(P31,[3]doctors!$A$1:$A$11,[3]doctors!$B$1:$B$11, ,0)</f>
        <v>David</v>
      </c>
      <c r="O31" t="str">
        <f>_xlfn.XLOOKUP(P31,[3]doctors!$A$1:$A$11,[3]doctors!$C$1:$C$11, ,0)</f>
        <v>Jones</v>
      </c>
      <c r="P31" t="str">
        <f>_xlfn.XLOOKUP(G31,[1]appointments!$B$1:$B$201,[1]appointments!$C$1:$C$201, ,0)</f>
        <v>D004</v>
      </c>
      <c r="Q31" t="str">
        <f>_xlfn.XLOOKUP(P31,[3]doctors!$A$1:$A$11,[3]doctors!$D$1:$D$11, ,0)</f>
        <v>Pediatrics</v>
      </c>
      <c r="R31" t="str">
        <f>_xlfn.XLOOKUP(G31,[1]appointments!$B$1:$B$201,[1]appointments!$G$1:$G$201, ,0)</f>
        <v>No-show</v>
      </c>
      <c r="S31" s="1">
        <f>_xlfn.XLOOKUP(management_table[[#This Row],[ Patient Id]],[1]appointments!$B$1:$B$201,[1]appointments!$D$1:$D$201, ,0)</f>
        <v>44941</v>
      </c>
    </row>
    <row r="32" spans="1:19" x14ac:dyDescent="0.35">
      <c r="A32" t="s">
        <v>74</v>
      </c>
      <c r="B32" t="s">
        <v>75</v>
      </c>
      <c r="C32" t="s">
        <v>21</v>
      </c>
      <c r="D32" t="s">
        <v>16</v>
      </c>
      <c r="E32">
        <v>2863.24</v>
      </c>
      <c r="F32" s="1">
        <v>45020</v>
      </c>
      <c r="G32" t="str">
        <f>_xlfn.XLOOKUP(B32,[1]appointments!$A$1:$A$201,[1]appointments!$B$1:$B$201, ,0)</f>
        <v>P026</v>
      </c>
      <c r="H32" t="str">
        <f>_xlfn.XLOOKUP(G32,[2]patients!$A$1:$A$51,[2]patients!$B$1:$B$51, ,0)</f>
        <v>John</v>
      </c>
      <c r="I32" t="str">
        <f>_xlfn.XLOOKUP(G32,[2]patients!$A$1:$A$51,[2]patients!$C$1:$C$51, ,0)</f>
        <v>Taylor</v>
      </c>
      <c r="J32" t="str">
        <f>_xlfn.XLOOKUP(G32,[2]patients!$A$1:$A$51,[2]patients!$D$1:$D$51, ,0)</f>
        <v>M</v>
      </c>
      <c r="K32" t="str">
        <f>_xlfn.XLOOKUP(G32,[2]patients!$A$1:$A$51,[2]patients!$I$1:$I$51, ,0)</f>
        <v>MedCare Plus</v>
      </c>
      <c r="L32" t="str">
        <f>_xlfn.XLOOKUP(G32,[1]appointments!$B$1:$B$201,[1]appointments!$A$1:$A$201, ,0)</f>
        <v>A015</v>
      </c>
      <c r="M32" t="str">
        <f>_xlfn.XLOOKUP(G32,[1]appointments!$B$1:$B$201,[1]appointments!$F$1:$F$201, ,0)</f>
        <v>Consultation</v>
      </c>
      <c r="N32" t="str">
        <f>_xlfn.XLOOKUP(P32,[3]doctors!$A$1:$A$11,[3]doctors!$B$1:$B$11, ,0)</f>
        <v>David</v>
      </c>
      <c r="O32" t="str">
        <f>_xlfn.XLOOKUP(P32,[3]doctors!$A$1:$A$11,[3]doctors!$C$1:$C$11, ,0)</f>
        <v>Jones</v>
      </c>
      <c r="P32" t="str">
        <f>_xlfn.XLOOKUP(G32,[1]appointments!$B$1:$B$201,[1]appointments!$C$1:$C$201, ,0)</f>
        <v>D004</v>
      </c>
      <c r="Q32" t="str">
        <f>_xlfn.XLOOKUP(P32,[3]doctors!$A$1:$A$11,[3]doctors!$D$1:$D$11, ,0)</f>
        <v>Pediatrics</v>
      </c>
      <c r="R32" t="str">
        <f>_xlfn.XLOOKUP(G32,[1]appointments!$B$1:$B$201,[1]appointments!$G$1:$G$201, ,0)</f>
        <v>No-show</v>
      </c>
      <c r="S32" s="1">
        <f>_xlfn.XLOOKUP(management_table[[#This Row],[ Patient Id]],[1]appointments!$B$1:$B$201,[1]appointments!$D$1:$D$201, ,0)</f>
        <v>44941</v>
      </c>
    </row>
    <row r="33" spans="1:19" x14ac:dyDescent="0.35">
      <c r="A33" t="s">
        <v>76</v>
      </c>
      <c r="B33" t="s">
        <v>77</v>
      </c>
      <c r="C33" t="s">
        <v>21</v>
      </c>
      <c r="D33" t="s">
        <v>13</v>
      </c>
      <c r="E33">
        <v>3690.71</v>
      </c>
      <c r="F33" s="1">
        <v>45236</v>
      </c>
      <c r="G33" t="str">
        <f>_xlfn.XLOOKUP(B33,[1]appointments!$A$1:$A$201,[1]appointments!$B$1:$B$201, ,0)</f>
        <v>P048</v>
      </c>
      <c r="H33" t="str">
        <f>_xlfn.XLOOKUP(G33,[2]patients!$A$1:$A$51,[2]patients!$B$1:$B$51, ,0)</f>
        <v>Emily</v>
      </c>
      <c r="I33" t="str">
        <f>_xlfn.XLOOKUP(G33,[2]patients!$A$1:$A$51,[2]patients!$C$1:$C$51, ,0)</f>
        <v>Miller</v>
      </c>
      <c r="J33" t="str">
        <f>_xlfn.XLOOKUP(G33,[2]patients!$A$1:$A$51,[2]patients!$D$1:$D$51, ,0)</f>
        <v>M</v>
      </c>
      <c r="K33" t="str">
        <f>_xlfn.XLOOKUP(G33,[2]patients!$A$1:$A$51,[2]patients!$I$1:$I$51, ,0)</f>
        <v>PulseSecure</v>
      </c>
      <c r="L33" t="str">
        <f>_xlfn.XLOOKUP(G33,[1]appointments!$B$1:$B$201,[1]appointments!$A$1:$A$201, ,0)</f>
        <v>A003</v>
      </c>
      <c r="M33" t="str">
        <f>_xlfn.XLOOKUP(G33,[1]appointments!$B$1:$B$201,[1]appointments!$F$1:$F$201, ,0)</f>
        <v>Consultation</v>
      </c>
      <c r="N33" t="str">
        <f>_xlfn.XLOOKUP(P33,[3]doctors!$A$1:$A$11,[3]doctors!$B$1:$B$11, ,0)</f>
        <v>David</v>
      </c>
      <c r="O33" t="str">
        <f>_xlfn.XLOOKUP(P33,[3]doctors!$A$1:$A$11,[3]doctors!$C$1:$C$11, ,0)</f>
        <v>Jones</v>
      </c>
      <c r="P33" t="str">
        <f>_xlfn.XLOOKUP(G33,[1]appointments!$B$1:$B$201,[1]appointments!$C$1:$C$201, ,0)</f>
        <v>D004</v>
      </c>
      <c r="Q33" t="str">
        <f>_xlfn.XLOOKUP(P33,[3]doctors!$A$1:$A$11,[3]doctors!$D$1:$D$11, ,0)</f>
        <v>Pediatrics</v>
      </c>
      <c r="R33" t="str">
        <f>_xlfn.XLOOKUP(G33,[1]appointments!$B$1:$B$201,[1]appointments!$G$1:$G$201, ,0)</f>
        <v>Cancelled</v>
      </c>
      <c r="S33" s="1">
        <f>_xlfn.XLOOKUP(management_table[[#This Row],[ Patient Id]],[1]appointments!$B$1:$B$201,[1]appointments!$D$1:$D$201, ,0)</f>
        <v>45105</v>
      </c>
    </row>
    <row r="34" spans="1:19" x14ac:dyDescent="0.35">
      <c r="A34" t="s">
        <v>78</v>
      </c>
      <c r="B34" t="s">
        <v>79</v>
      </c>
      <c r="C34" t="s">
        <v>28</v>
      </c>
      <c r="D34" t="s">
        <v>16</v>
      </c>
      <c r="E34">
        <v>980.95</v>
      </c>
      <c r="F34" s="1">
        <v>45192</v>
      </c>
      <c r="G34" t="str">
        <f>_xlfn.XLOOKUP(B34,[1]appointments!$A$1:$A$201,[1]appointments!$B$1:$B$201, ,0)</f>
        <v>P021</v>
      </c>
      <c r="H34" t="str">
        <f>_xlfn.XLOOKUP(G34,[2]patients!$A$1:$A$51,[2]patients!$B$1:$B$51, ,0)</f>
        <v>Michael</v>
      </c>
      <c r="I34" t="str">
        <f>_xlfn.XLOOKUP(G34,[2]patients!$A$1:$A$51,[2]patients!$C$1:$C$51, ,0)</f>
        <v>Wilson</v>
      </c>
      <c r="J34" t="str">
        <f>_xlfn.XLOOKUP(G34,[2]patients!$A$1:$A$51,[2]patients!$D$1:$D$51, ,0)</f>
        <v>M</v>
      </c>
      <c r="K34" t="str">
        <f>_xlfn.XLOOKUP(G34,[2]patients!$A$1:$A$51,[2]patients!$I$1:$I$51, ,0)</f>
        <v>WellnessCorp</v>
      </c>
      <c r="L34" t="str">
        <f>_xlfn.XLOOKUP(G34,[1]appointments!$B$1:$B$201,[1]appointments!$A$1:$A$201, ,0)</f>
        <v>A033</v>
      </c>
      <c r="M34" t="str">
        <f>_xlfn.XLOOKUP(G34,[1]appointments!$B$1:$B$201,[1]appointments!$F$1:$F$201, ,0)</f>
        <v>Therapy</v>
      </c>
      <c r="N34" t="str">
        <f>_xlfn.XLOOKUP(P34,[3]doctors!$A$1:$A$11,[3]doctors!$B$1:$B$11, ,0)</f>
        <v>Sarah</v>
      </c>
      <c r="O34" t="str">
        <f>_xlfn.XLOOKUP(P34,[3]doctors!$A$1:$A$11,[3]doctors!$C$1:$C$11, ,0)</f>
        <v>Taylor</v>
      </c>
      <c r="P34" t="str">
        <f>_xlfn.XLOOKUP(G34,[1]appointments!$B$1:$B$201,[1]appointments!$C$1:$C$201, ,0)</f>
        <v>D005</v>
      </c>
      <c r="Q34" t="str">
        <f>_xlfn.XLOOKUP(P34,[3]doctors!$A$1:$A$11,[3]doctors!$D$1:$D$11, ,0)</f>
        <v>Dermatology</v>
      </c>
      <c r="R34" t="str">
        <f>_xlfn.XLOOKUP(G34,[1]appointments!$B$1:$B$201,[1]appointments!$G$1:$G$201, ,0)</f>
        <v>No-show</v>
      </c>
      <c r="S34" s="1">
        <f>_xlfn.XLOOKUP(management_table[[#This Row],[ Patient Id]],[1]appointments!$B$1:$B$201,[1]appointments!$D$1:$D$201, ,0)</f>
        <v>45192</v>
      </c>
    </row>
    <row r="35" spans="1:19" x14ac:dyDescent="0.35">
      <c r="A35" t="s">
        <v>80</v>
      </c>
      <c r="B35" t="s">
        <v>81</v>
      </c>
      <c r="C35" t="s">
        <v>28</v>
      </c>
      <c r="D35" t="s">
        <v>9</v>
      </c>
      <c r="E35">
        <v>3052.9</v>
      </c>
      <c r="F35" s="1">
        <v>45090</v>
      </c>
      <c r="G35" t="str">
        <f>_xlfn.XLOOKUP(B35,[1]appointments!$A$1:$A$201,[1]appointments!$B$1:$B$201, ,0)</f>
        <v>P039</v>
      </c>
      <c r="H35" t="str">
        <f>_xlfn.XLOOKUP(G35,[2]patients!$A$1:$A$51,[2]patients!$B$1:$B$51, ,0)</f>
        <v>Jane</v>
      </c>
      <c r="I35" t="str">
        <f>_xlfn.XLOOKUP(G35,[2]patients!$A$1:$A$51,[2]patients!$C$1:$C$51, ,0)</f>
        <v>Wilson</v>
      </c>
      <c r="J35" t="str">
        <f>_xlfn.XLOOKUP(G35,[2]patients!$A$1:$A$51,[2]patients!$D$1:$D$51, ,0)</f>
        <v>F</v>
      </c>
      <c r="K35" t="str">
        <f>_xlfn.XLOOKUP(G35,[2]patients!$A$1:$A$51,[2]patients!$I$1:$I$51, ,0)</f>
        <v>PulseSecure</v>
      </c>
      <c r="L35" t="str">
        <f>_xlfn.XLOOKUP(G35,[1]appointments!$B$1:$B$201,[1]appointments!$A$1:$A$201, ,0)</f>
        <v>A009</v>
      </c>
      <c r="M35" t="str">
        <f>_xlfn.XLOOKUP(G35,[1]appointments!$B$1:$B$201,[1]appointments!$F$1:$F$201, ,0)</f>
        <v>Follow-up</v>
      </c>
      <c r="N35" t="str">
        <f>_xlfn.XLOOKUP(P35,[3]doctors!$A$1:$A$11,[3]doctors!$B$1:$B$11, ,0)</f>
        <v>Linda</v>
      </c>
      <c r="O35" t="str">
        <f>_xlfn.XLOOKUP(P35,[3]doctors!$A$1:$A$11,[3]doctors!$C$1:$C$11, ,0)</f>
        <v>Wilson</v>
      </c>
      <c r="P35" t="str">
        <f>_xlfn.XLOOKUP(G35,[1]appointments!$B$1:$B$201,[1]appointments!$C$1:$C$201, ,0)</f>
        <v>D010</v>
      </c>
      <c r="Q35" t="str">
        <f>_xlfn.XLOOKUP(P35,[3]doctors!$A$1:$A$11,[3]doctors!$D$1:$D$11, ,0)</f>
        <v>Oncology</v>
      </c>
      <c r="R35" t="str">
        <f>_xlfn.XLOOKUP(G35,[1]appointments!$B$1:$B$201,[1]appointments!$G$1:$G$201, ,0)</f>
        <v>Scheduled</v>
      </c>
      <c r="S35" s="1">
        <f>_xlfn.XLOOKUP(management_table[[#This Row],[ Patient Id]],[1]appointments!$B$1:$B$201,[1]appointments!$D$1:$D$201, ,0)</f>
        <v>44990</v>
      </c>
    </row>
    <row r="36" spans="1:19" x14ac:dyDescent="0.35">
      <c r="A36" t="s">
        <v>82</v>
      </c>
      <c r="B36" t="s">
        <v>83</v>
      </c>
      <c r="C36" t="s">
        <v>12</v>
      </c>
      <c r="D36" t="s">
        <v>16</v>
      </c>
      <c r="E36">
        <v>1654.53</v>
      </c>
      <c r="F36" s="1">
        <v>45034</v>
      </c>
      <c r="G36" t="str">
        <f>_xlfn.XLOOKUP(B36,[1]appointments!$A$1:$A$201,[1]appointments!$B$1:$B$201, ,0)</f>
        <v>P036</v>
      </c>
      <c r="H36" t="str">
        <f>_xlfn.XLOOKUP(G36,[2]patients!$A$1:$A$51,[2]patients!$B$1:$B$51, ,0)</f>
        <v>Michael</v>
      </c>
      <c r="I36" t="str">
        <f>_xlfn.XLOOKUP(G36,[2]patients!$A$1:$A$51,[2]patients!$C$1:$C$51, ,0)</f>
        <v>Wilson</v>
      </c>
      <c r="J36" t="str">
        <f>_xlfn.XLOOKUP(G36,[2]patients!$A$1:$A$51,[2]patients!$D$1:$D$51, ,0)</f>
        <v>M</v>
      </c>
      <c r="K36" t="str">
        <f>_xlfn.XLOOKUP(G36,[2]patients!$A$1:$A$51,[2]patients!$I$1:$I$51, ,0)</f>
        <v>MedCare Plus</v>
      </c>
      <c r="L36" t="str">
        <f>_xlfn.XLOOKUP(G36,[1]appointments!$B$1:$B$201,[1]appointments!$A$1:$A$201, ,0)</f>
        <v>A035</v>
      </c>
      <c r="M36" t="str">
        <f>_xlfn.XLOOKUP(G36,[1]appointments!$B$1:$B$201,[1]appointments!$F$1:$F$201, ,0)</f>
        <v>Follow-up</v>
      </c>
      <c r="N36" t="str">
        <f>_xlfn.XLOOKUP(P36,[3]doctors!$A$1:$A$11,[3]doctors!$B$1:$B$11, ,0)</f>
        <v>Jane</v>
      </c>
      <c r="O36" t="str">
        <f>_xlfn.XLOOKUP(P36,[3]doctors!$A$1:$A$11,[3]doctors!$C$1:$C$11, ,0)</f>
        <v>Smith</v>
      </c>
      <c r="P36" t="str">
        <f>_xlfn.XLOOKUP(G36,[1]appointments!$B$1:$B$201,[1]appointments!$C$1:$C$201, ,0)</f>
        <v>D003</v>
      </c>
      <c r="Q36" t="str">
        <f>_xlfn.XLOOKUP(P36,[3]doctors!$A$1:$A$11,[3]doctors!$D$1:$D$11, ,0)</f>
        <v>Pediatrics</v>
      </c>
      <c r="R36" t="str">
        <f>_xlfn.XLOOKUP(G36,[1]appointments!$B$1:$B$201,[1]appointments!$G$1:$G$201, ,0)</f>
        <v>Scheduled</v>
      </c>
      <c r="S36" s="1">
        <f>_xlfn.XLOOKUP(management_table[[#This Row],[ Patient Id]],[1]appointments!$B$1:$B$201,[1]appointments!$D$1:$D$201, ,0)</f>
        <v>45034</v>
      </c>
    </row>
    <row r="37" spans="1:19" x14ac:dyDescent="0.35">
      <c r="A37" t="s">
        <v>84</v>
      </c>
      <c r="B37" t="s">
        <v>85</v>
      </c>
      <c r="C37" t="s">
        <v>51</v>
      </c>
      <c r="D37" t="s">
        <v>9</v>
      </c>
      <c r="E37">
        <v>4833.17</v>
      </c>
      <c r="F37" s="1">
        <v>44934</v>
      </c>
      <c r="G37" t="str">
        <f>_xlfn.XLOOKUP(B37,[1]appointments!$A$1:$A$201,[1]appointments!$B$1:$B$201, ,0)</f>
        <v>P033</v>
      </c>
      <c r="H37" t="str">
        <f>_xlfn.XLOOKUP(G37,[2]patients!$A$1:$A$51,[2]patients!$B$1:$B$51, ,0)</f>
        <v>Michael</v>
      </c>
      <c r="I37" t="str">
        <f>_xlfn.XLOOKUP(G37,[2]patients!$A$1:$A$51,[2]patients!$C$1:$C$51, ,0)</f>
        <v>Wilson</v>
      </c>
      <c r="J37" t="str">
        <f>_xlfn.XLOOKUP(G37,[2]patients!$A$1:$A$51,[2]patients!$D$1:$D$51, ,0)</f>
        <v>F</v>
      </c>
      <c r="K37" t="str">
        <f>_xlfn.XLOOKUP(G37,[2]patients!$A$1:$A$51,[2]patients!$I$1:$I$51, ,0)</f>
        <v>MedCare Plus</v>
      </c>
      <c r="L37" t="str">
        <f>_xlfn.XLOOKUP(G37,[1]appointments!$B$1:$B$201,[1]appointments!$A$1:$A$201, ,0)</f>
        <v>A036</v>
      </c>
      <c r="M37" t="str">
        <f>_xlfn.XLOOKUP(G37,[1]appointments!$B$1:$B$201,[1]appointments!$F$1:$F$201, ,0)</f>
        <v>Checkup</v>
      </c>
      <c r="N37" t="str">
        <f>_xlfn.XLOOKUP(P37,[3]doctors!$A$1:$A$11,[3]doctors!$B$1:$B$11, ,0)</f>
        <v>Jane</v>
      </c>
      <c r="O37" t="str">
        <f>_xlfn.XLOOKUP(P37,[3]doctors!$A$1:$A$11,[3]doctors!$C$1:$C$11, ,0)</f>
        <v>Smith</v>
      </c>
      <c r="P37" t="str">
        <f>_xlfn.XLOOKUP(G37,[1]appointments!$B$1:$B$201,[1]appointments!$C$1:$C$201, ,0)</f>
        <v>D003</v>
      </c>
      <c r="Q37" t="str">
        <f>_xlfn.XLOOKUP(P37,[3]doctors!$A$1:$A$11,[3]doctors!$D$1:$D$11, ,0)</f>
        <v>Pediatrics</v>
      </c>
      <c r="R37" t="str">
        <f>_xlfn.XLOOKUP(G37,[1]appointments!$B$1:$B$201,[1]appointments!$G$1:$G$201, ,0)</f>
        <v>No-show</v>
      </c>
      <c r="S37" s="1">
        <f>_xlfn.XLOOKUP(management_table[[#This Row],[ Patient Id]],[1]appointments!$B$1:$B$201,[1]appointments!$D$1:$D$201, ,0)</f>
        <v>44934</v>
      </c>
    </row>
    <row r="38" spans="1:19" x14ac:dyDescent="0.35">
      <c r="A38" t="s">
        <v>86</v>
      </c>
      <c r="B38" t="s">
        <v>87</v>
      </c>
      <c r="C38" t="s">
        <v>8</v>
      </c>
      <c r="D38" t="s">
        <v>16</v>
      </c>
      <c r="E38">
        <v>2675.96</v>
      </c>
      <c r="F38" s="1">
        <v>45013</v>
      </c>
      <c r="G38" t="str">
        <f>_xlfn.XLOOKUP(B38,[1]appointments!$A$1:$A$201,[1]appointments!$B$1:$B$201, ,0)</f>
        <v>P030</v>
      </c>
      <c r="H38" t="str">
        <f>_xlfn.XLOOKUP(G38,[2]patients!$A$1:$A$51,[2]patients!$B$1:$B$51, ,0)</f>
        <v>Emily</v>
      </c>
      <c r="I38" t="str">
        <f>_xlfn.XLOOKUP(G38,[2]patients!$A$1:$A$51,[2]patients!$C$1:$C$51, ,0)</f>
        <v>Moore</v>
      </c>
      <c r="J38" t="str">
        <f>_xlfn.XLOOKUP(G38,[2]patients!$A$1:$A$51,[2]patients!$D$1:$D$51, ,0)</f>
        <v>M</v>
      </c>
      <c r="K38" t="str">
        <f>_xlfn.XLOOKUP(G38,[2]patients!$A$1:$A$51,[2]patients!$I$1:$I$51, ,0)</f>
        <v>PulseSecure</v>
      </c>
      <c r="L38" t="str">
        <f>_xlfn.XLOOKUP(G38,[1]appointments!$B$1:$B$201,[1]appointments!$A$1:$A$201, ,0)</f>
        <v>A025</v>
      </c>
      <c r="M38" t="str">
        <f>_xlfn.XLOOKUP(G38,[1]appointments!$B$1:$B$201,[1]appointments!$F$1:$F$201, ,0)</f>
        <v>Follow-up</v>
      </c>
      <c r="N38" t="str">
        <f>_xlfn.XLOOKUP(P38,[3]doctors!$A$1:$A$11,[3]doctors!$B$1:$B$11, ,0)</f>
        <v>David</v>
      </c>
      <c r="O38" t="str">
        <f>_xlfn.XLOOKUP(P38,[3]doctors!$A$1:$A$11,[3]doctors!$C$1:$C$11, ,0)</f>
        <v>Taylor</v>
      </c>
      <c r="P38" t="str">
        <f>_xlfn.XLOOKUP(G38,[1]appointments!$B$1:$B$201,[1]appointments!$C$1:$C$201, ,0)</f>
        <v>D001</v>
      </c>
      <c r="Q38" t="str">
        <f>_xlfn.XLOOKUP(P38,[3]doctors!$A$1:$A$11,[3]doctors!$D$1:$D$11, ,0)</f>
        <v>Dermatology</v>
      </c>
      <c r="R38" t="str">
        <f>_xlfn.XLOOKUP(G38,[1]appointments!$B$1:$B$201,[1]appointments!$G$1:$G$201, ,0)</f>
        <v>No-show</v>
      </c>
      <c r="S38" s="1">
        <f>_xlfn.XLOOKUP(management_table[[#This Row],[ Patient Id]],[1]appointments!$B$1:$B$201,[1]appointments!$D$1:$D$201, ,0)</f>
        <v>44982</v>
      </c>
    </row>
    <row r="39" spans="1:19" x14ac:dyDescent="0.35">
      <c r="A39" t="s">
        <v>88</v>
      </c>
      <c r="B39" t="s">
        <v>89</v>
      </c>
      <c r="C39" t="s">
        <v>12</v>
      </c>
      <c r="D39" t="s">
        <v>16</v>
      </c>
      <c r="E39">
        <v>4126.97</v>
      </c>
      <c r="F39" s="1">
        <v>44980</v>
      </c>
      <c r="G39" t="str">
        <f>_xlfn.XLOOKUP(B39,[1]appointments!$A$1:$A$201,[1]appointments!$B$1:$B$201, ,0)</f>
        <v>P037</v>
      </c>
      <c r="H39" t="str">
        <f>_xlfn.XLOOKUP(G39,[2]patients!$A$1:$A$51,[2]patients!$B$1:$B$51, ,0)</f>
        <v>Robert</v>
      </c>
      <c r="I39" t="str">
        <f>_xlfn.XLOOKUP(G39,[2]patients!$A$1:$A$51,[2]patients!$C$1:$C$51, ,0)</f>
        <v>Williams</v>
      </c>
      <c r="J39" t="str">
        <f>_xlfn.XLOOKUP(G39,[2]patients!$A$1:$A$51,[2]patients!$D$1:$D$51, ,0)</f>
        <v>M</v>
      </c>
      <c r="K39" t="str">
        <f>_xlfn.XLOOKUP(G39,[2]patients!$A$1:$A$51,[2]patients!$I$1:$I$51, ,0)</f>
        <v>HealthIndia</v>
      </c>
      <c r="L39" t="str">
        <f>_xlfn.XLOOKUP(G39,[1]appointments!$B$1:$B$201,[1]appointments!$A$1:$A$201, ,0)</f>
        <v>A017</v>
      </c>
      <c r="M39" t="str">
        <f>_xlfn.XLOOKUP(G39,[1]appointments!$B$1:$B$201,[1]appointments!$F$1:$F$201, ,0)</f>
        <v>Emergency</v>
      </c>
      <c r="N39" t="str">
        <f>_xlfn.XLOOKUP(P39,[3]doctors!$A$1:$A$11,[3]doctors!$B$1:$B$11, ,0)</f>
        <v>Sarah</v>
      </c>
      <c r="O39" t="str">
        <f>_xlfn.XLOOKUP(P39,[3]doctors!$A$1:$A$11,[3]doctors!$C$1:$C$11, ,0)</f>
        <v>Smith</v>
      </c>
      <c r="P39" t="str">
        <f>_xlfn.XLOOKUP(G39,[1]appointments!$B$1:$B$201,[1]appointments!$C$1:$C$201, ,0)</f>
        <v>D009</v>
      </c>
      <c r="Q39" t="str">
        <f>_xlfn.XLOOKUP(P39,[3]doctors!$A$1:$A$11,[3]doctors!$D$1:$D$11, ,0)</f>
        <v>Pediatrics</v>
      </c>
      <c r="R39" t="str">
        <f>_xlfn.XLOOKUP(G39,[1]appointments!$B$1:$B$201,[1]appointments!$G$1:$G$201, ,0)</f>
        <v>Scheduled</v>
      </c>
      <c r="S39" s="1">
        <f>_xlfn.XLOOKUP(management_table[[#This Row],[ Patient Id]],[1]appointments!$B$1:$B$201,[1]appointments!$D$1:$D$201, ,0)</f>
        <v>45118</v>
      </c>
    </row>
    <row r="40" spans="1:19" x14ac:dyDescent="0.35">
      <c r="A40" t="s">
        <v>90</v>
      </c>
      <c r="B40" t="s">
        <v>91</v>
      </c>
      <c r="C40" t="s">
        <v>28</v>
      </c>
      <c r="D40" t="s">
        <v>16</v>
      </c>
      <c r="E40">
        <v>2976.02</v>
      </c>
      <c r="F40" s="1">
        <v>45033</v>
      </c>
      <c r="G40" t="str">
        <f>_xlfn.XLOOKUP(B40,[1]appointments!$A$1:$A$201,[1]appointments!$B$1:$B$201, ,0)</f>
        <v>P023</v>
      </c>
      <c r="H40" t="str">
        <f>_xlfn.XLOOKUP(G40,[2]patients!$A$1:$A$51,[2]patients!$B$1:$B$51, ,0)</f>
        <v>Linda</v>
      </c>
      <c r="I40" t="str">
        <f>_xlfn.XLOOKUP(G40,[2]patients!$A$1:$A$51,[2]patients!$C$1:$C$51, ,0)</f>
        <v>Johnson</v>
      </c>
      <c r="J40" t="str">
        <f>_xlfn.XLOOKUP(G40,[2]patients!$A$1:$A$51,[2]patients!$D$1:$D$51, ,0)</f>
        <v>M</v>
      </c>
      <c r="K40" t="str">
        <f>_xlfn.XLOOKUP(G40,[2]patients!$A$1:$A$51,[2]patients!$I$1:$I$51, ,0)</f>
        <v>WellnessCorp</v>
      </c>
      <c r="L40" t="str">
        <f>_xlfn.XLOOKUP(G40,[1]appointments!$B$1:$B$201,[1]appointments!$A$1:$A$201, ,0)</f>
        <v>A039</v>
      </c>
      <c r="M40" t="str">
        <f>_xlfn.XLOOKUP(G40,[1]appointments!$B$1:$B$201,[1]appointments!$F$1:$F$201, ,0)</f>
        <v>Follow-up</v>
      </c>
      <c r="N40" t="str">
        <f>_xlfn.XLOOKUP(P40,[3]doctors!$A$1:$A$11,[3]doctors!$B$1:$B$11, ,0)</f>
        <v>Jane</v>
      </c>
      <c r="O40" t="str">
        <f>_xlfn.XLOOKUP(P40,[3]doctors!$A$1:$A$11,[3]doctors!$C$1:$C$11, ,0)</f>
        <v>Davis</v>
      </c>
      <c r="P40" t="str">
        <f>_xlfn.XLOOKUP(G40,[1]appointments!$B$1:$B$201,[1]appointments!$C$1:$C$201, ,0)</f>
        <v>D002</v>
      </c>
      <c r="Q40" t="str">
        <f>_xlfn.XLOOKUP(P40,[3]doctors!$A$1:$A$11,[3]doctors!$D$1:$D$11, ,0)</f>
        <v>Pediatrics</v>
      </c>
      <c r="R40" t="str">
        <f>_xlfn.XLOOKUP(G40,[1]appointments!$B$1:$B$201,[1]appointments!$G$1:$G$201, ,0)</f>
        <v>Scheduled</v>
      </c>
      <c r="S40" s="1">
        <f>_xlfn.XLOOKUP(management_table[[#This Row],[ Patient Id]],[1]appointments!$B$1:$B$201,[1]appointments!$D$1:$D$201, ,0)</f>
        <v>45033</v>
      </c>
    </row>
    <row r="41" spans="1:19" x14ac:dyDescent="0.35">
      <c r="A41" t="s">
        <v>92</v>
      </c>
      <c r="B41" t="s">
        <v>93</v>
      </c>
      <c r="C41" t="s">
        <v>8</v>
      </c>
      <c r="D41" t="s">
        <v>16</v>
      </c>
      <c r="E41">
        <v>695.36</v>
      </c>
      <c r="F41" s="1">
        <v>45012</v>
      </c>
      <c r="G41" t="str">
        <f>_xlfn.XLOOKUP(B41,[1]appointments!$A$1:$A$201,[1]appointments!$B$1:$B$201, ,0)</f>
        <v>P010</v>
      </c>
      <c r="H41" t="str">
        <f>_xlfn.XLOOKUP(G41,[2]patients!$A$1:$A$51,[2]patients!$B$1:$B$51, ,0)</f>
        <v>Michael</v>
      </c>
      <c r="I41" t="str">
        <f>_xlfn.XLOOKUP(G41,[2]patients!$A$1:$A$51,[2]patients!$C$1:$C$51, ,0)</f>
        <v>Taylor</v>
      </c>
      <c r="J41" t="str">
        <f>_xlfn.XLOOKUP(G41,[2]patients!$A$1:$A$51,[2]patients!$D$1:$D$51, ,0)</f>
        <v>M</v>
      </c>
      <c r="K41" t="str">
        <f>_xlfn.XLOOKUP(G41,[2]patients!$A$1:$A$51,[2]patients!$I$1:$I$51, ,0)</f>
        <v>WellnessCorp</v>
      </c>
      <c r="L41" t="str">
        <f>_xlfn.XLOOKUP(G41,[1]appointments!$B$1:$B$201,[1]appointments!$A$1:$A$201, ,0)</f>
        <v>A040</v>
      </c>
      <c r="M41" t="str">
        <f>_xlfn.XLOOKUP(G41,[1]appointments!$B$1:$B$201,[1]appointments!$F$1:$F$201, ,0)</f>
        <v>Therapy</v>
      </c>
      <c r="N41" t="str">
        <f>_xlfn.XLOOKUP(P41,[3]doctors!$A$1:$A$11,[3]doctors!$B$1:$B$11, ,0)</f>
        <v>Sarah</v>
      </c>
      <c r="O41" t="str">
        <f>_xlfn.XLOOKUP(P41,[3]doctors!$A$1:$A$11,[3]doctors!$C$1:$C$11, ,0)</f>
        <v>Smith</v>
      </c>
      <c r="P41" t="str">
        <f>_xlfn.XLOOKUP(G41,[1]appointments!$B$1:$B$201,[1]appointments!$C$1:$C$201, ,0)</f>
        <v>D009</v>
      </c>
      <c r="Q41" t="str">
        <f>_xlfn.XLOOKUP(P41,[3]doctors!$A$1:$A$11,[3]doctors!$D$1:$D$11, ,0)</f>
        <v>Pediatrics</v>
      </c>
      <c r="R41" t="str">
        <f>_xlfn.XLOOKUP(G41,[1]appointments!$B$1:$B$201,[1]appointments!$G$1:$G$201, ,0)</f>
        <v>Completed</v>
      </c>
      <c r="S41" s="1">
        <f>_xlfn.XLOOKUP(management_table[[#This Row],[ Patient Id]],[1]appointments!$B$1:$B$201,[1]appointments!$D$1:$D$201, ,0)</f>
        <v>45012</v>
      </c>
    </row>
    <row r="42" spans="1:19" x14ac:dyDescent="0.35">
      <c r="A42" t="s">
        <v>94</v>
      </c>
      <c r="B42" t="s">
        <v>95</v>
      </c>
      <c r="C42" t="s">
        <v>28</v>
      </c>
      <c r="D42" t="s">
        <v>9</v>
      </c>
      <c r="E42">
        <v>3349.18</v>
      </c>
      <c r="F42" s="1">
        <v>44927</v>
      </c>
      <c r="G42" t="str">
        <f>_xlfn.XLOOKUP(B42,[1]appointments!$A$1:$A$201,[1]appointments!$B$1:$B$201, ,0)</f>
        <v>P005</v>
      </c>
      <c r="H42" t="str">
        <f>_xlfn.XLOOKUP(G42,[2]patients!$A$1:$A$51,[2]patients!$B$1:$B$51, ,0)</f>
        <v>David</v>
      </c>
      <c r="I42" t="str">
        <f>_xlfn.XLOOKUP(G42,[2]patients!$A$1:$A$51,[2]patients!$C$1:$C$51, ,0)</f>
        <v>Wilson</v>
      </c>
      <c r="J42" t="str">
        <f>_xlfn.XLOOKUP(G42,[2]patients!$A$1:$A$51,[2]patients!$D$1:$D$51, ,0)</f>
        <v>M</v>
      </c>
      <c r="K42" t="str">
        <f>_xlfn.XLOOKUP(G42,[2]patients!$A$1:$A$51,[2]patients!$I$1:$I$51, ,0)</f>
        <v>MedCare Plus</v>
      </c>
      <c r="L42" t="str">
        <f>_xlfn.XLOOKUP(G42,[1]appointments!$B$1:$B$201,[1]appointments!$A$1:$A$201, ,0)</f>
        <v>A010</v>
      </c>
      <c r="M42" t="str">
        <f>_xlfn.XLOOKUP(G42,[1]appointments!$B$1:$B$201,[1]appointments!$F$1:$F$201, ,0)</f>
        <v>Therapy</v>
      </c>
      <c r="N42" t="str">
        <f>_xlfn.XLOOKUP(P42,[3]doctors!$A$1:$A$11,[3]doctors!$B$1:$B$11, ,0)</f>
        <v>Jane</v>
      </c>
      <c r="O42" t="str">
        <f>_xlfn.XLOOKUP(P42,[3]doctors!$A$1:$A$11,[3]doctors!$C$1:$C$11, ,0)</f>
        <v>Smith</v>
      </c>
      <c r="P42" t="str">
        <f>_xlfn.XLOOKUP(G42,[1]appointments!$B$1:$B$201,[1]appointments!$C$1:$C$201, ,0)</f>
        <v>D003</v>
      </c>
      <c r="Q42" t="str">
        <f>_xlfn.XLOOKUP(P42,[3]doctors!$A$1:$A$11,[3]doctors!$D$1:$D$11, ,0)</f>
        <v>Pediatrics</v>
      </c>
      <c r="R42" t="str">
        <f>_xlfn.XLOOKUP(G42,[1]appointments!$B$1:$B$201,[1]appointments!$G$1:$G$201, ,0)</f>
        <v>Completed</v>
      </c>
      <c r="S42" s="1">
        <f>_xlfn.XLOOKUP(management_table[[#This Row],[ Patient Id]],[1]appointments!$B$1:$B$201,[1]appointments!$D$1:$D$201, ,0)</f>
        <v>44939</v>
      </c>
    </row>
    <row r="43" spans="1:19" x14ac:dyDescent="0.35">
      <c r="A43" t="s">
        <v>96</v>
      </c>
      <c r="B43" t="s">
        <v>97</v>
      </c>
      <c r="C43" t="s">
        <v>8</v>
      </c>
      <c r="D43" t="s">
        <v>9</v>
      </c>
      <c r="E43">
        <v>4781.32</v>
      </c>
      <c r="F43" s="1">
        <v>45006</v>
      </c>
      <c r="G43" t="str">
        <f>_xlfn.XLOOKUP(B43,[1]appointments!$A$1:$A$201,[1]appointments!$B$1:$B$201, ,0)</f>
        <v>P036</v>
      </c>
      <c r="H43" t="str">
        <f>_xlfn.XLOOKUP(G43,[2]patients!$A$1:$A$51,[2]patients!$B$1:$B$51, ,0)</f>
        <v>Michael</v>
      </c>
      <c r="I43" t="str">
        <f>_xlfn.XLOOKUP(G43,[2]patients!$A$1:$A$51,[2]patients!$C$1:$C$51, ,0)</f>
        <v>Wilson</v>
      </c>
      <c r="J43" t="str">
        <f>_xlfn.XLOOKUP(G43,[2]patients!$A$1:$A$51,[2]patients!$D$1:$D$51, ,0)</f>
        <v>M</v>
      </c>
      <c r="K43" t="str">
        <f>_xlfn.XLOOKUP(G43,[2]patients!$A$1:$A$51,[2]patients!$I$1:$I$51, ,0)</f>
        <v>MedCare Plus</v>
      </c>
      <c r="L43" t="str">
        <f>_xlfn.XLOOKUP(G43,[1]appointments!$B$1:$B$201,[1]appointments!$A$1:$A$201, ,0)</f>
        <v>A035</v>
      </c>
      <c r="M43" t="str">
        <f>_xlfn.XLOOKUP(G43,[1]appointments!$B$1:$B$201,[1]appointments!$F$1:$F$201, ,0)</f>
        <v>Follow-up</v>
      </c>
      <c r="N43" t="str">
        <f>_xlfn.XLOOKUP(P43,[3]doctors!$A$1:$A$11,[3]doctors!$B$1:$B$11, ,0)</f>
        <v>Jane</v>
      </c>
      <c r="O43" t="str">
        <f>_xlfn.XLOOKUP(P43,[3]doctors!$A$1:$A$11,[3]doctors!$C$1:$C$11, ,0)</f>
        <v>Smith</v>
      </c>
      <c r="P43" t="str">
        <f>_xlfn.XLOOKUP(G43,[1]appointments!$B$1:$B$201,[1]appointments!$C$1:$C$201, ,0)</f>
        <v>D003</v>
      </c>
      <c r="Q43" t="str">
        <f>_xlfn.XLOOKUP(P43,[3]doctors!$A$1:$A$11,[3]doctors!$D$1:$D$11, ,0)</f>
        <v>Pediatrics</v>
      </c>
      <c r="R43" t="str">
        <f>_xlfn.XLOOKUP(G43,[1]appointments!$B$1:$B$201,[1]appointments!$G$1:$G$201, ,0)</f>
        <v>Scheduled</v>
      </c>
      <c r="S43" s="1">
        <f>_xlfn.XLOOKUP(management_table[[#This Row],[ Patient Id]],[1]appointments!$B$1:$B$201,[1]appointments!$D$1:$D$201, ,0)</f>
        <v>45034</v>
      </c>
    </row>
    <row r="44" spans="1:19" x14ac:dyDescent="0.35">
      <c r="A44" t="s">
        <v>98</v>
      </c>
      <c r="B44" t="s">
        <v>99</v>
      </c>
      <c r="C44" t="s">
        <v>51</v>
      </c>
      <c r="D44" t="s">
        <v>13</v>
      </c>
      <c r="E44">
        <v>3207.25</v>
      </c>
      <c r="F44" s="1">
        <v>45014</v>
      </c>
      <c r="G44" t="str">
        <f>_xlfn.XLOOKUP(B44,[1]appointments!$A$1:$A$201,[1]appointments!$B$1:$B$201, ,0)</f>
        <v>P034</v>
      </c>
      <c r="H44" t="str">
        <f>_xlfn.XLOOKUP(G44,[2]patients!$A$1:$A$51,[2]patients!$B$1:$B$51, ,0)</f>
        <v>Alex</v>
      </c>
      <c r="I44" t="str">
        <f>_xlfn.XLOOKUP(G44,[2]patients!$A$1:$A$51,[2]patients!$C$1:$C$51, ,0)</f>
        <v>Smith</v>
      </c>
      <c r="J44" t="str">
        <f>_xlfn.XLOOKUP(G44,[2]patients!$A$1:$A$51,[2]patients!$D$1:$D$51, ,0)</f>
        <v>F</v>
      </c>
      <c r="K44" t="str">
        <f>_xlfn.XLOOKUP(G44,[2]patients!$A$1:$A$51,[2]patients!$I$1:$I$51, ,0)</f>
        <v>WellnessCorp</v>
      </c>
      <c r="L44" t="str">
        <f>_xlfn.XLOOKUP(G44,[1]appointments!$B$1:$B$201,[1]appointments!$A$1:$A$201, ,0)</f>
        <v>A001</v>
      </c>
      <c r="M44" t="str">
        <f>_xlfn.XLOOKUP(G44,[1]appointments!$B$1:$B$201,[1]appointments!$F$1:$F$201, ,0)</f>
        <v>Therapy</v>
      </c>
      <c r="N44" t="str">
        <f>_xlfn.XLOOKUP(P44,[3]doctors!$A$1:$A$11,[3]doctors!$B$1:$B$11, ,0)</f>
        <v>Sarah</v>
      </c>
      <c r="O44" t="str">
        <f>_xlfn.XLOOKUP(P44,[3]doctors!$A$1:$A$11,[3]doctors!$C$1:$C$11, ,0)</f>
        <v>Smith</v>
      </c>
      <c r="P44" t="str">
        <f>_xlfn.XLOOKUP(G44,[1]appointments!$B$1:$B$201,[1]appointments!$C$1:$C$201, ,0)</f>
        <v>D009</v>
      </c>
      <c r="Q44" t="str">
        <f>_xlfn.XLOOKUP(P44,[3]doctors!$A$1:$A$11,[3]doctors!$D$1:$D$11, ,0)</f>
        <v>Pediatrics</v>
      </c>
      <c r="R44" t="str">
        <f>_xlfn.XLOOKUP(G44,[1]appointments!$B$1:$B$201,[1]appointments!$G$1:$G$201, ,0)</f>
        <v>Scheduled</v>
      </c>
      <c r="S44" s="1">
        <f>_xlfn.XLOOKUP(management_table[[#This Row],[ Patient Id]],[1]appointments!$B$1:$B$201,[1]appointments!$D$1:$D$201, ,0)</f>
        <v>45147</v>
      </c>
    </row>
    <row r="45" spans="1:19" x14ac:dyDescent="0.35">
      <c r="A45" t="s">
        <v>100</v>
      </c>
      <c r="B45" t="s">
        <v>101</v>
      </c>
      <c r="C45" t="s">
        <v>12</v>
      </c>
      <c r="D45" t="s">
        <v>9</v>
      </c>
      <c r="E45">
        <v>4186.3500000000004</v>
      </c>
      <c r="F45" s="1">
        <v>45189</v>
      </c>
      <c r="G45" t="str">
        <f>_xlfn.XLOOKUP(B45,[1]appointments!$A$1:$A$201,[1]appointments!$B$1:$B$201, ,0)</f>
        <v>P031</v>
      </c>
      <c r="H45" t="str">
        <f>_xlfn.XLOOKUP(G45,[2]patients!$A$1:$A$51,[2]patients!$B$1:$B$51, ,0)</f>
        <v>Robert</v>
      </c>
      <c r="I45" t="str">
        <f>_xlfn.XLOOKUP(G45,[2]patients!$A$1:$A$51,[2]patients!$C$1:$C$51, ,0)</f>
        <v>Miller</v>
      </c>
      <c r="J45" t="str">
        <f>_xlfn.XLOOKUP(G45,[2]patients!$A$1:$A$51,[2]patients!$D$1:$D$51, ,0)</f>
        <v>M</v>
      </c>
      <c r="K45" t="str">
        <f>_xlfn.XLOOKUP(G45,[2]patients!$A$1:$A$51,[2]patients!$I$1:$I$51, ,0)</f>
        <v>WellnessCorp</v>
      </c>
      <c r="L45" t="str">
        <f>_xlfn.XLOOKUP(G45,[1]appointments!$B$1:$B$201,[1]appointments!$A$1:$A$201, ,0)</f>
        <v>A044</v>
      </c>
      <c r="M45" t="str">
        <f>_xlfn.XLOOKUP(G45,[1]appointments!$B$1:$B$201,[1]appointments!$F$1:$F$201, ,0)</f>
        <v>Follow-up</v>
      </c>
      <c r="N45" t="str">
        <f>_xlfn.XLOOKUP(P45,[3]doctors!$A$1:$A$11,[3]doctors!$B$1:$B$11, ,0)</f>
        <v>Alex</v>
      </c>
      <c r="O45" t="str">
        <f>_xlfn.XLOOKUP(P45,[3]doctors!$A$1:$A$11,[3]doctors!$C$1:$C$11, ,0)</f>
        <v>Davis</v>
      </c>
      <c r="P45" t="str">
        <f>_xlfn.XLOOKUP(G45,[1]appointments!$B$1:$B$201,[1]appointments!$C$1:$C$201, ,0)</f>
        <v>D006</v>
      </c>
      <c r="Q45" t="str">
        <f>_xlfn.XLOOKUP(P45,[3]doctors!$A$1:$A$11,[3]doctors!$D$1:$D$11, ,0)</f>
        <v>Pediatrics</v>
      </c>
      <c r="R45" t="str">
        <f>_xlfn.XLOOKUP(G45,[1]appointments!$B$1:$B$201,[1]appointments!$G$1:$G$201, ,0)</f>
        <v>Completed</v>
      </c>
      <c r="S45" s="1">
        <f>_xlfn.XLOOKUP(management_table[[#This Row],[ Patient Id]],[1]appointments!$B$1:$B$201,[1]appointments!$D$1:$D$201, ,0)</f>
        <v>45189</v>
      </c>
    </row>
    <row r="46" spans="1:19" x14ac:dyDescent="0.35">
      <c r="A46" t="s">
        <v>102</v>
      </c>
      <c r="B46" t="s">
        <v>103</v>
      </c>
      <c r="C46" t="s">
        <v>8</v>
      </c>
      <c r="D46" t="s">
        <v>16</v>
      </c>
      <c r="E46">
        <v>4478.93</v>
      </c>
      <c r="F46" s="1">
        <v>45197</v>
      </c>
      <c r="G46" t="str">
        <f>_xlfn.XLOOKUP(B46,[1]appointments!$A$1:$A$201,[1]appointments!$B$1:$B$201, ,0)</f>
        <v>P010</v>
      </c>
      <c r="H46" t="str">
        <f>_xlfn.XLOOKUP(G46,[2]patients!$A$1:$A$51,[2]patients!$B$1:$B$51, ,0)</f>
        <v>Michael</v>
      </c>
      <c r="I46" t="str">
        <f>_xlfn.XLOOKUP(G46,[2]patients!$A$1:$A$51,[2]patients!$C$1:$C$51, ,0)</f>
        <v>Taylor</v>
      </c>
      <c r="J46" t="str">
        <f>_xlfn.XLOOKUP(G46,[2]patients!$A$1:$A$51,[2]patients!$D$1:$D$51, ,0)</f>
        <v>M</v>
      </c>
      <c r="K46" t="str">
        <f>_xlfn.XLOOKUP(G46,[2]patients!$A$1:$A$51,[2]patients!$I$1:$I$51, ,0)</f>
        <v>WellnessCorp</v>
      </c>
      <c r="L46" t="str">
        <f>_xlfn.XLOOKUP(G46,[1]appointments!$B$1:$B$201,[1]appointments!$A$1:$A$201, ,0)</f>
        <v>A040</v>
      </c>
      <c r="M46" t="str">
        <f>_xlfn.XLOOKUP(G46,[1]appointments!$B$1:$B$201,[1]appointments!$F$1:$F$201, ,0)</f>
        <v>Therapy</v>
      </c>
      <c r="N46" t="str">
        <f>_xlfn.XLOOKUP(P46,[3]doctors!$A$1:$A$11,[3]doctors!$B$1:$B$11, ,0)</f>
        <v>Sarah</v>
      </c>
      <c r="O46" t="str">
        <f>_xlfn.XLOOKUP(P46,[3]doctors!$A$1:$A$11,[3]doctors!$C$1:$C$11, ,0)</f>
        <v>Smith</v>
      </c>
      <c r="P46" t="str">
        <f>_xlfn.XLOOKUP(G46,[1]appointments!$B$1:$B$201,[1]appointments!$C$1:$C$201, ,0)</f>
        <v>D009</v>
      </c>
      <c r="Q46" t="str">
        <f>_xlfn.XLOOKUP(P46,[3]doctors!$A$1:$A$11,[3]doctors!$D$1:$D$11, ,0)</f>
        <v>Pediatrics</v>
      </c>
      <c r="R46" t="str">
        <f>_xlfn.XLOOKUP(G46,[1]appointments!$B$1:$B$201,[1]appointments!$G$1:$G$201, ,0)</f>
        <v>Completed</v>
      </c>
      <c r="S46" s="1">
        <f>_xlfn.XLOOKUP(management_table[[#This Row],[ Patient Id]],[1]appointments!$B$1:$B$201,[1]appointments!$D$1:$D$201, ,0)</f>
        <v>45012</v>
      </c>
    </row>
    <row r="47" spans="1:19" x14ac:dyDescent="0.35">
      <c r="A47" t="s">
        <v>104</v>
      </c>
      <c r="B47" t="s">
        <v>105</v>
      </c>
      <c r="C47" t="s">
        <v>21</v>
      </c>
      <c r="D47" t="s">
        <v>13</v>
      </c>
      <c r="E47">
        <v>1526.36</v>
      </c>
      <c r="F47" s="1">
        <v>45280</v>
      </c>
      <c r="G47" t="str">
        <f>_xlfn.XLOOKUP(B47,[1]appointments!$A$1:$A$201,[1]appointments!$B$1:$B$201, ,0)</f>
        <v>P019</v>
      </c>
      <c r="H47" t="str">
        <f>_xlfn.XLOOKUP(G47,[2]patients!$A$1:$A$51,[2]patients!$B$1:$B$51, ,0)</f>
        <v>Sarah</v>
      </c>
      <c r="I47" t="str">
        <f>_xlfn.XLOOKUP(G47,[2]patients!$A$1:$A$51,[2]patients!$C$1:$C$51, ,0)</f>
        <v>Miller</v>
      </c>
      <c r="J47" t="str">
        <f>_xlfn.XLOOKUP(G47,[2]patients!$A$1:$A$51,[2]patients!$D$1:$D$51, ,0)</f>
        <v>M</v>
      </c>
      <c r="K47" t="str">
        <f>_xlfn.XLOOKUP(G47,[2]patients!$A$1:$A$51,[2]patients!$I$1:$I$51, ,0)</f>
        <v>WellnessCorp</v>
      </c>
      <c r="L47" t="str">
        <f>_xlfn.XLOOKUP(G47,[1]appointments!$B$1:$B$201,[1]appointments!$A$1:$A$201, ,0)</f>
        <v>A046</v>
      </c>
      <c r="M47" t="str">
        <f>_xlfn.XLOOKUP(G47,[1]appointments!$B$1:$B$201,[1]appointments!$F$1:$F$201, ,0)</f>
        <v>Consultation</v>
      </c>
      <c r="N47" t="str">
        <f>_xlfn.XLOOKUP(P47,[3]doctors!$A$1:$A$11,[3]doctors!$B$1:$B$11, ,0)</f>
        <v>Jane</v>
      </c>
      <c r="O47" t="str">
        <f>_xlfn.XLOOKUP(P47,[3]doctors!$A$1:$A$11,[3]doctors!$C$1:$C$11, ,0)</f>
        <v>Smith</v>
      </c>
      <c r="P47" t="str">
        <f>_xlfn.XLOOKUP(G47,[1]appointments!$B$1:$B$201,[1]appointments!$C$1:$C$201, ,0)</f>
        <v>D003</v>
      </c>
      <c r="Q47" t="str">
        <f>_xlfn.XLOOKUP(P47,[3]doctors!$A$1:$A$11,[3]doctors!$D$1:$D$11, ,0)</f>
        <v>Pediatrics</v>
      </c>
      <c r="R47" t="str">
        <f>_xlfn.XLOOKUP(G47,[1]appointments!$B$1:$B$201,[1]appointments!$G$1:$G$201, ,0)</f>
        <v>Cancelled</v>
      </c>
      <c r="S47" s="1">
        <f>_xlfn.XLOOKUP(management_table[[#This Row],[ Patient Id]],[1]appointments!$B$1:$B$201,[1]appointments!$D$1:$D$201, ,0)</f>
        <v>45280</v>
      </c>
    </row>
    <row r="48" spans="1:19" x14ac:dyDescent="0.35">
      <c r="A48" t="s">
        <v>106</v>
      </c>
      <c r="B48" t="s">
        <v>107</v>
      </c>
      <c r="C48" t="s">
        <v>21</v>
      </c>
      <c r="D48" t="s">
        <v>13</v>
      </c>
      <c r="E48">
        <v>1454.2</v>
      </c>
      <c r="F48" s="1">
        <v>45048</v>
      </c>
      <c r="G48" t="str">
        <f>_xlfn.XLOOKUP(B48,[1]appointments!$A$1:$A$201,[1]appointments!$B$1:$B$201, ,0)</f>
        <v>P032</v>
      </c>
      <c r="H48" t="str">
        <f>_xlfn.XLOOKUP(G48,[2]patients!$A$1:$A$51,[2]patients!$B$1:$B$51, ,0)</f>
        <v>Alex</v>
      </c>
      <c r="I48" t="str">
        <f>_xlfn.XLOOKUP(G48,[2]patients!$A$1:$A$51,[2]patients!$C$1:$C$51, ,0)</f>
        <v>Moore</v>
      </c>
      <c r="J48" t="str">
        <f>_xlfn.XLOOKUP(G48,[2]patients!$A$1:$A$51,[2]patients!$D$1:$D$51, ,0)</f>
        <v>M</v>
      </c>
      <c r="K48" t="str">
        <f>_xlfn.XLOOKUP(G48,[2]patients!$A$1:$A$51,[2]patients!$I$1:$I$51, ,0)</f>
        <v>MedCare Plus</v>
      </c>
      <c r="L48" t="str">
        <f>_xlfn.XLOOKUP(G48,[1]appointments!$B$1:$B$201,[1]appointments!$A$1:$A$201, ,0)</f>
        <v>A002</v>
      </c>
      <c r="M48" t="str">
        <f>_xlfn.XLOOKUP(G48,[1]appointments!$B$1:$B$201,[1]appointments!$F$1:$F$201, ,0)</f>
        <v>Therapy</v>
      </c>
      <c r="N48" t="str">
        <f>_xlfn.XLOOKUP(P48,[3]doctors!$A$1:$A$11,[3]doctors!$B$1:$B$11, ,0)</f>
        <v>David</v>
      </c>
      <c r="O48" t="str">
        <f>_xlfn.XLOOKUP(P48,[3]doctors!$A$1:$A$11,[3]doctors!$C$1:$C$11, ,0)</f>
        <v>Jones</v>
      </c>
      <c r="P48" t="str">
        <f>_xlfn.XLOOKUP(G48,[1]appointments!$B$1:$B$201,[1]appointments!$C$1:$C$201, ,0)</f>
        <v>D004</v>
      </c>
      <c r="Q48" t="str">
        <f>_xlfn.XLOOKUP(P48,[3]doctors!$A$1:$A$11,[3]doctors!$D$1:$D$11, ,0)</f>
        <v>Pediatrics</v>
      </c>
      <c r="R48" t="str">
        <f>_xlfn.XLOOKUP(G48,[1]appointments!$B$1:$B$201,[1]appointments!$G$1:$G$201, ,0)</f>
        <v>No-show</v>
      </c>
      <c r="S48" s="1">
        <f>_xlfn.XLOOKUP(management_table[[#This Row],[ Patient Id]],[1]appointments!$B$1:$B$201,[1]appointments!$D$1:$D$201, ,0)</f>
        <v>45086</v>
      </c>
    </row>
    <row r="49" spans="1:19" x14ac:dyDescent="0.35">
      <c r="A49" t="s">
        <v>108</v>
      </c>
      <c r="B49" t="s">
        <v>109</v>
      </c>
      <c r="C49" t="s">
        <v>8</v>
      </c>
      <c r="D49" t="s">
        <v>13</v>
      </c>
      <c r="E49">
        <v>3249.41</v>
      </c>
      <c r="F49" s="1">
        <v>44942</v>
      </c>
      <c r="G49" t="str">
        <f>_xlfn.XLOOKUP(B49,[1]appointments!$A$1:$A$201,[1]appointments!$B$1:$B$201, ,0)</f>
        <v>P001</v>
      </c>
      <c r="H49" t="str">
        <f>_xlfn.XLOOKUP(G49,[2]patients!$A$1:$A$51,[2]patients!$B$1:$B$51, ,0)</f>
        <v>David</v>
      </c>
      <c r="I49" t="str">
        <f>_xlfn.XLOOKUP(G49,[2]patients!$A$1:$A$51,[2]patients!$C$1:$C$51, ,0)</f>
        <v>Williams</v>
      </c>
      <c r="J49" t="str">
        <f>_xlfn.XLOOKUP(G49,[2]patients!$A$1:$A$51,[2]patients!$D$1:$D$51, ,0)</f>
        <v>F</v>
      </c>
      <c r="K49" t="str">
        <f>_xlfn.XLOOKUP(G49,[2]patients!$A$1:$A$51,[2]patients!$I$1:$I$51, ,0)</f>
        <v>WellnessCorp</v>
      </c>
      <c r="L49" t="str">
        <f>_xlfn.XLOOKUP(G49,[1]appointments!$B$1:$B$201,[1]appointments!$A$1:$A$201, ,0)</f>
        <v>A007</v>
      </c>
      <c r="M49" t="str">
        <f>_xlfn.XLOOKUP(G49,[1]appointments!$B$1:$B$201,[1]appointments!$F$1:$F$201, ,0)</f>
        <v>Consultation</v>
      </c>
      <c r="N49" t="str">
        <f>_xlfn.XLOOKUP(P49,[3]doctors!$A$1:$A$11,[3]doctors!$B$1:$B$11, ,0)</f>
        <v>Robert</v>
      </c>
      <c r="O49" t="str">
        <f>_xlfn.XLOOKUP(P49,[3]doctors!$A$1:$A$11,[3]doctors!$C$1:$C$11, ,0)</f>
        <v>Davis</v>
      </c>
      <c r="P49" t="str">
        <f>_xlfn.XLOOKUP(G49,[1]appointments!$B$1:$B$201,[1]appointments!$C$1:$C$201, ,0)</f>
        <v>D007</v>
      </c>
      <c r="Q49" t="str">
        <f>_xlfn.XLOOKUP(P49,[3]doctors!$A$1:$A$11,[3]doctors!$D$1:$D$11, ,0)</f>
        <v>Oncology</v>
      </c>
      <c r="R49" t="str">
        <f>_xlfn.XLOOKUP(G49,[1]appointments!$B$1:$B$201,[1]appointments!$G$1:$G$201, ,0)</f>
        <v>Scheduled</v>
      </c>
      <c r="S49" s="1">
        <f>_xlfn.XLOOKUP(management_table[[#This Row],[ Patient Id]],[1]appointments!$B$1:$B$201,[1]appointments!$D$1:$D$201, ,0)</f>
        <v>45025</v>
      </c>
    </row>
    <row r="50" spans="1:19" x14ac:dyDescent="0.35">
      <c r="A50" t="s">
        <v>110</v>
      </c>
      <c r="B50" t="s">
        <v>111</v>
      </c>
      <c r="C50" t="s">
        <v>8</v>
      </c>
      <c r="D50" t="s">
        <v>16</v>
      </c>
      <c r="E50">
        <v>2349.63</v>
      </c>
      <c r="F50" s="1">
        <v>45046</v>
      </c>
      <c r="G50" t="str">
        <f>_xlfn.XLOOKUP(B50,[1]appointments!$A$1:$A$201,[1]appointments!$B$1:$B$201, ,0)</f>
        <v>P005</v>
      </c>
      <c r="H50" t="str">
        <f>_xlfn.XLOOKUP(G50,[2]patients!$A$1:$A$51,[2]patients!$B$1:$B$51, ,0)</f>
        <v>David</v>
      </c>
      <c r="I50" t="str">
        <f>_xlfn.XLOOKUP(G50,[2]patients!$A$1:$A$51,[2]patients!$C$1:$C$51, ,0)</f>
        <v>Wilson</v>
      </c>
      <c r="J50" t="str">
        <f>_xlfn.XLOOKUP(G50,[2]patients!$A$1:$A$51,[2]patients!$D$1:$D$51, ,0)</f>
        <v>M</v>
      </c>
      <c r="K50" t="str">
        <f>_xlfn.XLOOKUP(G50,[2]patients!$A$1:$A$51,[2]patients!$I$1:$I$51, ,0)</f>
        <v>MedCare Plus</v>
      </c>
      <c r="L50" t="str">
        <f>_xlfn.XLOOKUP(G50,[1]appointments!$B$1:$B$201,[1]appointments!$A$1:$A$201, ,0)</f>
        <v>A010</v>
      </c>
      <c r="M50" t="str">
        <f>_xlfn.XLOOKUP(G50,[1]appointments!$B$1:$B$201,[1]appointments!$F$1:$F$201, ,0)</f>
        <v>Therapy</v>
      </c>
      <c r="N50" t="str">
        <f>_xlfn.XLOOKUP(P50,[3]doctors!$A$1:$A$11,[3]doctors!$B$1:$B$11, ,0)</f>
        <v>Jane</v>
      </c>
      <c r="O50" t="str">
        <f>_xlfn.XLOOKUP(P50,[3]doctors!$A$1:$A$11,[3]doctors!$C$1:$C$11, ,0)</f>
        <v>Smith</v>
      </c>
      <c r="P50" t="str">
        <f>_xlfn.XLOOKUP(G50,[1]appointments!$B$1:$B$201,[1]appointments!$C$1:$C$201, ,0)</f>
        <v>D003</v>
      </c>
      <c r="Q50" t="str">
        <f>_xlfn.XLOOKUP(P50,[3]doctors!$A$1:$A$11,[3]doctors!$D$1:$D$11, ,0)</f>
        <v>Pediatrics</v>
      </c>
      <c r="R50" t="str">
        <f>_xlfn.XLOOKUP(G50,[1]appointments!$B$1:$B$201,[1]appointments!$G$1:$G$201, ,0)</f>
        <v>Completed</v>
      </c>
      <c r="S50" s="1">
        <f>_xlfn.XLOOKUP(management_table[[#This Row],[ Patient Id]],[1]appointments!$B$1:$B$201,[1]appointments!$D$1:$D$201, ,0)</f>
        <v>44939</v>
      </c>
    </row>
    <row r="51" spans="1:19" x14ac:dyDescent="0.35">
      <c r="A51" t="s">
        <v>112</v>
      </c>
      <c r="B51" t="s">
        <v>113</v>
      </c>
      <c r="C51" t="s">
        <v>8</v>
      </c>
      <c r="D51" t="s">
        <v>9</v>
      </c>
      <c r="E51">
        <v>4279.38</v>
      </c>
      <c r="F51" s="1">
        <v>45154</v>
      </c>
      <c r="G51" t="str">
        <f>_xlfn.XLOOKUP(B51,[1]appointments!$A$1:$A$201,[1]appointments!$B$1:$B$201, ,0)</f>
        <v>P045</v>
      </c>
      <c r="H51" t="str">
        <f>_xlfn.XLOOKUP(G51,[2]patients!$A$1:$A$51,[2]patients!$B$1:$B$51, ,0)</f>
        <v>Linda</v>
      </c>
      <c r="I51" t="str">
        <f>_xlfn.XLOOKUP(G51,[2]patients!$A$1:$A$51,[2]patients!$C$1:$C$51, ,0)</f>
        <v>Miller</v>
      </c>
      <c r="J51" t="str">
        <f>_xlfn.XLOOKUP(G51,[2]patients!$A$1:$A$51,[2]patients!$D$1:$D$51, ,0)</f>
        <v>F</v>
      </c>
      <c r="K51" t="str">
        <f>_xlfn.XLOOKUP(G51,[2]patients!$A$1:$A$51,[2]patients!$I$1:$I$51, ,0)</f>
        <v>MedCare Plus</v>
      </c>
      <c r="L51" t="str">
        <f>_xlfn.XLOOKUP(G51,[1]appointments!$B$1:$B$201,[1]appointments!$A$1:$A$201, ,0)</f>
        <v>A006</v>
      </c>
      <c r="M51" t="str">
        <f>_xlfn.XLOOKUP(G51,[1]appointments!$B$1:$B$201,[1]appointments!$F$1:$F$201, ,0)</f>
        <v>Checkup</v>
      </c>
      <c r="N51" t="str">
        <f>_xlfn.XLOOKUP(P51,[3]doctors!$A$1:$A$11,[3]doctors!$B$1:$B$11, ,0)</f>
        <v>Alex</v>
      </c>
      <c r="O51" t="str">
        <f>_xlfn.XLOOKUP(P51,[3]doctors!$A$1:$A$11,[3]doctors!$C$1:$C$11, ,0)</f>
        <v>Davis</v>
      </c>
      <c r="P51" t="str">
        <f>_xlfn.XLOOKUP(G51,[1]appointments!$B$1:$B$201,[1]appointments!$C$1:$C$201, ,0)</f>
        <v>D006</v>
      </c>
      <c r="Q51" t="str">
        <f>_xlfn.XLOOKUP(P51,[3]doctors!$A$1:$A$11,[3]doctors!$D$1:$D$11, ,0)</f>
        <v>Pediatrics</v>
      </c>
      <c r="R51" t="str">
        <f>_xlfn.XLOOKUP(G51,[1]appointments!$B$1:$B$201,[1]appointments!$G$1:$G$201, ,0)</f>
        <v>Scheduled</v>
      </c>
      <c r="S51" s="1">
        <f>_xlfn.XLOOKUP(management_table[[#This Row],[ Patient Id]],[1]appointments!$B$1:$B$201,[1]appointments!$D$1:$D$201, ,0)</f>
        <v>45096</v>
      </c>
    </row>
    <row r="52" spans="1:19" x14ac:dyDescent="0.35">
      <c r="A52" t="s">
        <v>114</v>
      </c>
      <c r="B52" t="s">
        <v>115</v>
      </c>
      <c r="C52" t="s">
        <v>21</v>
      </c>
      <c r="D52" t="s">
        <v>16</v>
      </c>
      <c r="E52">
        <v>4550.1000000000004</v>
      </c>
      <c r="F52" s="1">
        <v>44961</v>
      </c>
      <c r="G52" t="str">
        <f>_xlfn.XLOOKUP(B52,[1]appointments!$A$1:$A$201,[1]appointments!$B$1:$B$201, ,0)</f>
        <v>P004</v>
      </c>
      <c r="H52" t="str">
        <f>_xlfn.XLOOKUP(G52,[2]patients!$A$1:$A$51,[2]patients!$B$1:$B$51, ,0)</f>
        <v>Michael</v>
      </c>
      <c r="I52" t="str">
        <f>_xlfn.XLOOKUP(G52,[2]patients!$A$1:$A$51,[2]patients!$C$1:$C$51, ,0)</f>
        <v>Johnson</v>
      </c>
      <c r="J52" t="str">
        <f>_xlfn.XLOOKUP(G52,[2]patients!$A$1:$A$51,[2]patients!$D$1:$D$51, ,0)</f>
        <v>F</v>
      </c>
      <c r="K52" t="str">
        <f>_xlfn.XLOOKUP(G52,[2]patients!$A$1:$A$51,[2]patients!$I$1:$I$51, ,0)</f>
        <v>HealthIndia</v>
      </c>
      <c r="L52" t="str">
        <f>_xlfn.XLOOKUP(G52,[1]appointments!$B$1:$B$201,[1]appointments!$A$1:$A$201, ,0)</f>
        <v>A051</v>
      </c>
      <c r="M52" t="str">
        <f>_xlfn.XLOOKUP(G52,[1]appointments!$B$1:$B$201,[1]appointments!$F$1:$F$201, ,0)</f>
        <v>Checkup</v>
      </c>
      <c r="N52" t="str">
        <f>_xlfn.XLOOKUP(P52,[3]doctors!$A$1:$A$11,[3]doctors!$B$1:$B$11, ,0)</f>
        <v>Alex</v>
      </c>
      <c r="O52" t="str">
        <f>_xlfn.XLOOKUP(P52,[3]doctors!$A$1:$A$11,[3]doctors!$C$1:$C$11, ,0)</f>
        <v>Davis</v>
      </c>
      <c r="P52" t="str">
        <f>_xlfn.XLOOKUP(G52,[1]appointments!$B$1:$B$201,[1]appointments!$C$1:$C$201, ,0)</f>
        <v>D006</v>
      </c>
      <c r="Q52" t="str">
        <f>_xlfn.XLOOKUP(P52,[3]doctors!$A$1:$A$11,[3]doctors!$D$1:$D$11, ,0)</f>
        <v>Pediatrics</v>
      </c>
      <c r="R52" t="str">
        <f>_xlfn.XLOOKUP(G52,[1]appointments!$B$1:$B$201,[1]appointments!$G$1:$G$201, ,0)</f>
        <v>Completed</v>
      </c>
      <c r="S52" s="1">
        <f>_xlfn.XLOOKUP(management_table[[#This Row],[ Patient Id]],[1]appointments!$B$1:$B$201,[1]appointments!$D$1:$D$201, ,0)</f>
        <v>44961</v>
      </c>
    </row>
    <row r="53" spans="1:19" x14ac:dyDescent="0.35">
      <c r="A53" t="s">
        <v>116</v>
      </c>
      <c r="B53" t="s">
        <v>117</v>
      </c>
      <c r="C53" t="s">
        <v>21</v>
      </c>
      <c r="D53" t="s">
        <v>13</v>
      </c>
      <c r="E53">
        <v>2090.4</v>
      </c>
      <c r="F53" s="1">
        <v>45119</v>
      </c>
      <c r="G53" t="str">
        <f>_xlfn.XLOOKUP(B53,[1]appointments!$A$1:$A$201,[1]appointments!$B$1:$B$201, ,0)</f>
        <v>P016</v>
      </c>
      <c r="H53" t="str">
        <f>_xlfn.XLOOKUP(G53,[2]patients!$A$1:$A$51,[2]patients!$B$1:$B$51, ,0)</f>
        <v>Michael</v>
      </c>
      <c r="I53" t="str">
        <f>_xlfn.XLOOKUP(G53,[2]patients!$A$1:$A$51,[2]patients!$C$1:$C$51, ,0)</f>
        <v>Taylor</v>
      </c>
      <c r="J53" t="str">
        <f>_xlfn.XLOOKUP(G53,[2]patients!$A$1:$A$51,[2]patients!$D$1:$D$51, ,0)</f>
        <v>M</v>
      </c>
      <c r="K53" t="str">
        <f>_xlfn.XLOOKUP(G53,[2]patients!$A$1:$A$51,[2]patients!$I$1:$I$51, ,0)</f>
        <v>PulseSecure</v>
      </c>
      <c r="L53" t="str">
        <f>_xlfn.XLOOKUP(G53,[1]appointments!$B$1:$B$201,[1]appointments!$A$1:$A$201, ,0)</f>
        <v>A008</v>
      </c>
      <c r="M53" t="str">
        <f>_xlfn.XLOOKUP(G53,[1]appointments!$B$1:$B$201,[1]appointments!$F$1:$F$201, ,0)</f>
        <v>Consultation</v>
      </c>
      <c r="N53" t="str">
        <f>_xlfn.XLOOKUP(P53,[3]doctors!$A$1:$A$11,[3]doctors!$B$1:$B$11, ,0)</f>
        <v>Linda</v>
      </c>
      <c r="O53" t="str">
        <f>_xlfn.XLOOKUP(P53,[3]doctors!$A$1:$A$11,[3]doctors!$C$1:$C$11, ,0)</f>
        <v>Wilson</v>
      </c>
      <c r="P53" t="str">
        <f>_xlfn.XLOOKUP(G53,[1]appointments!$B$1:$B$201,[1]appointments!$C$1:$C$201, ,0)</f>
        <v>D010</v>
      </c>
      <c r="Q53" t="str">
        <f>_xlfn.XLOOKUP(P53,[3]doctors!$A$1:$A$11,[3]doctors!$D$1:$D$11, ,0)</f>
        <v>Oncology</v>
      </c>
      <c r="R53" t="str">
        <f>_xlfn.XLOOKUP(G53,[1]appointments!$B$1:$B$201,[1]appointments!$G$1:$G$201, ,0)</f>
        <v>Cancelled</v>
      </c>
      <c r="S53" s="1">
        <f>_xlfn.XLOOKUP(management_table[[#This Row],[ Patient Id]],[1]appointments!$B$1:$B$201,[1]appointments!$D$1:$D$201, ,0)</f>
        <v>45070</v>
      </c>
    </row>
    <row r="54" spans="1:19" x14ac:dyDescent="0.35">
      <c r="A54" t="s">
        <v>118</v>
      </c>
      <c r="B54" t="s">
        <v>119</v>
      </c>
      <c r="C54" t="s">
        <v>8</v>
      </c>
      <c r="D54" t="s">
        <v>16</v>
      </c>
      <c r="E54">
        <v>1565.92</v>
      </c>
      <c r="F54" s="1">
        <v>44969</v>
      </c>
      <c r="G54" t="str">
        <f>_xlfn.XLOOKUP(B54,[1]appointments!$A$1:$A$201,[1]appointments!$B$1:$B$201, ,0)</f>
        <v>P024</v>
      </c>
      <c r="H54" t="str">
        <f>_xlfn.XLOOKUP(G54,[2]patients!$A$1:$A$51,[2]patients!$B$1:$B$51, ,0)</f>
        <v>Sarah</v>
      </c>
      <c r="I54" t="str">
        <f>_xlfn.XLOOKUP(G54,[2]patients!$A$1:$A$51,[2]patients!$C$1:$C$51, ,0)</f>
        <v>Brown</v>
      </c>
      <c r="J54" t="str">
        <f>_xlfn.XLOOKUP(G54,[2]patients!$A$1:$A$51,[2]patients!$D$1:$D$51, ,0)</f>
        <v>F</v>
      </c>
      <c r="K54" t="str">
        <f>_xlfn.XLOOKUP(G54,[2]patients!$A$1:$A$51,[2]patients!$I$1:$I$51, ,0)</f>
        <v>WellnessCorp</v>
      </c>
      <c r="L54" t="str">
        <f>_xlfn.XLOOKUP(G54,[1]appointments!$B$1:$B$201,[1]appointments!$A$1:$A$201, ,0)</f>
        <v>A053</v>
      </c>
      <c r="M54" t="str">
        <f>_xlfn.XLOOKUP(G54,[1]appointments!$B$1:$B$201,[1]appointments!$F$1:$F$201, ,0)</f>
        <v>Checkup</v>
      </c>
      <c r="N54" t="str">
        <f>_xlfn.XLOOKUP(P54,[3]doctors!$A$1:$A$11,[3]doctors!$B$1:$B$11, ,0)</f>
        <v>Sarah</v>
      </c>
      <c r="O54" t="str">
        <f>_xlfn.XLOOKUP(P54,[3]doctors!$A$1:$A$11,[3]doctors!$C$1:$C$11, ,0)</f>
        <v>Taylor</v>
      </c>
      <c r="P54" t="str">
        <f>_xlfn.XLOOKUP(G54,[1]appointments!$B$1:$B$201,[1]appointments!$C$1:$C$201, ,0)</f>
        <v>D005</v>
      </c>
      <c r="Q54" t="str">
        <f>_xlfn.XLOOKUP(P54,[3]doctors!$A$1:$A$11,[3]doctors!$D$1:$D$11, ,0)</f>
        <v>Dermatology</v>
      </c>
      <c r="R54" t="str">
        <f>_xlfn.XLOOKUP(G54,[1]appointments!$B$1:$B$201,[1]appointments!$G$1:$G$201, ,0)</f>
        <v>Cancelled</v>
      </c>
      <c r="S54" s="1">
        <f>_xlfn.XLOOKUP(management_table[[#This Row],[ Patient Id]],[1]appointments!$B$1:$B$201,[1]appointments!$D$1:$D$201, ,0)</f>
        <v>44969</v>
      </c>
    </row>
    <row r="55" spans="1:19" x14ac:dyDescent="0.35">
      <c r="A55" t="s">
        <v>120</v>
      </c>
      <c r="B55" t="s">
        <v>121</v>
      </c>
      <c r="C55" t="s">
        <v>28</v>
      </c>
      <c r="D55" t="s">
        <v>16</v>
      </c>
      <c r="E55">
        <v>4012.36</v>
      </c>
      <c r="F55" s="1">
        <v>45276</v>
      </c>
      <c r="G55" t="str">
        <f>_xlfn.XLOOKUP(B55,[1]appointments!$A$1:$A$201,[1]appointments!$B$1:$B$201, ,0)</f>
        <v>P016</v>
      </c>
      <c r="H55" t="str">
        <f>_xlfn.XLOOKUP(G55,[2]patients!$A$1:$A$51,[2]patients!$B$1:$B$51, ,0)</f>
        <v>Michael</v>
      </c>
      <c r="I55" t="str">
        <f>_xlfn.XLOOKUP(G55,[2]patients!$A$1:$A$51,[2]patients!$C$1:$C$51, ,0)</f>
        <v>Taylor</v>
      </c>
      <c r="J55" t="str">
        <f>_xlfn.XLOOKUP(G55,[2]patients!$A$1:$A$51,[2]patients!$D$1:$D$51, ,0)</f>
        <v>M</v>
      </c>
      <c r="K55" t="str">
        <f>_xlfn.XLOOKUP(G55,[2]patients!$A$1:$A$51,[2]patients!$I$1:$I$51, ,0)</f>
        <v>PulseSecure</v>
      </c>
      <c r="L55" t="str">
        <f>_xlfn.XLOOKUP(G55,[1]appointments!$B$1:$B$201,[1]appointments!$A$1:$A$201, ,0)</f>
        <v>A008</v>
      </c>
      <c r="M55" t="str">
        <f>_xlfn.XLOOKUP(G55,[1]appointments!$B$1:$B$201,[1]appointments!$F$1:$F$201, ,0)</f>
        <v>Consultation</v>
      </c>
      <c r="N55" t="str">
        <f>_xlfn.XLOOKUP(P55,[3]doctors!$A$1:$A$11,[3]doctors!$B$1:$B$11, ,0)</f>
        <v>Linda</v>
      </c>
      <c r="O55" t="str">
        <f>_xlfn.XLOOKUP(P55,[3]doctors!$A$1:$A$11,[3]doctors!$C$1:$C$11, ,0)</f>
        <v>Wilson</v>
      </c>
      <c r="P55" t="str">
        <f>_xlfn.XLOOKUP(G55,[1]appointments!$B$1:$B$201,[1]appointments!$C$1:$C$201, ,0)</f>
        <v>D010</v>
      </c>
      <c r="Q55" t="str">
        <f>_xlfn.XLOOKUP(P55,[3]doctors!$A$1:$A$11,[3]doctors!$D$1:$D$11, ,0)</f>
        <v>Oncology</v>
      </c>
      <c r="R55" t="str">
        <f>_xlfn.XLOOKUP(G55,[1]appointments!$B$1:$B$201,[1]appointments!$G$1:$G$201, ,0)</f>
        <v>Cancelled</v>
      </c>
      <c r="S55" s="1">
        <f>_xlfn.XLOOKUP(management_table[[#This Row],[ Patient Id]],[1]appointments!$B$1:$B$201,[1]appointments!$D$1:$D$201, ,0)</f>
        <v>45070</v>
      </c>
    </row>
    <row r="56" spans="1:19" x14ac:dyDescent="0.35">
      <c r="A56" t="s">
        <v>122</v>
      </c>
      <c r="B56" t="s">
        <v>123</v>
      </c>
      <c r="C56" t="s">
        <v>28</v>
      </c>
      <c r="D56" t="s">
        <v>9</v>
      </c>
      <c r="E56">
        <v>1736.63</v>
      </c>
      <c r="F56" s="1">
        <v>45205</v>
      </c>
      <c r="G56" t="str">
        <f>_xlfn.XLOOKUP(B56,[1]appointments!$A$1:$A$201,[1]appointments!$B$1:$B$201, ,0)</f>
        <v>P002</v>
      </c>
      <c r="H56" t="str">
        <f>_xlfn.XLOOKUP(G56,[2]patients!$A$1:$A$51,[2]patients!$B$1:$B$51, ,0)</f>
        <v>Emily</v>
      </c>
      <c r="I56" t="str">
        <f>_xlfn.XLOOKUP(G56,[2]patients!$A$1:$A$51,[2]patients!$C$1:$C$51, ,0)</f>
        <v>Smith</v>
      </c>
      <c r="J56" t="str">
        <f>_xlfn.XLOOKUP(G56,[2]patients!$A$1:$A$51,[2]patients!$D$1:$D$51, ,0)</f>
        <v>F</v>
      </c>
      <c r="K56" t="str">
        <f>_xlfn.XLOOKUP(G56,[2]patients!$A$1:$A$51,[2]patients!$I$1:$I$51, ,0)</f>
        <v>PulseSecure</v>
      </c>
      <c r="L56" t="str">
        <f>_xlfn.XLOOKUP(G56,[1]appointments!$B$1:$B$201,[1]appointments!$A$1:$A$201, ,0)</f>
        <v>A055</v>
      </c>
      <c r="M56" t="str">
        <f>_xlfn.XLOOKUP(G56,[1]appointments!$B$1:$B$201,[1]appointments!$F$1:$F$201, ,0)</f>
        <v>Checkup</v>
      </c>
      <c r="N56" t="str">
        <f>_xlfn.XLOOKUP(P56,[3]doctors!$A$1:$A$11,[3]doctors!$B$1:$B$11, ,0)</f>
        <v>Linda</v>
      </c>
      <c r="O56" t="str">
        <f>_xlfn.XLOOKUP(P56,[3]doctors!$A$1:$A$11,[3]doctors!$C$1:$C$11, ,0)</f>
        <v>Wilson</v>
      </c>
      <c r="P56" t="str">
        <f>_xlfn.XLOOKUP(G56,[1]appointments!$B$1:$B$201,[1]appointments!$C$1:$C$201, ,0)</f>
        <v>D010</v>
      </c>
      <c r="Q56" t="str">
        <f>_xlfn.XLOOKUP(P56,[3]doctors!$A$1:$A$11,[3]doctors!$D$1:$D$11, ,0)</f>
        <v>Oncology</v>
      </c>
      <c r="R56" t="str">
        <f>_xlfn.XLOOKUP(G56,[1]appointments!$B$1:$B$201,[1]appointments!$G$1:$G$201, ,0)</f>
        <v>Scheduled</v>
      </c>
      <c r="S56" s="1">
        <f>_xlfn.XLOOKUP(management_table[[#This Row],[ Patient Id]],[1]appointments!$B$1:$B$201,[1]appointments!$D$1:$D$201, ,0)</f>
        <v>45205</v>
      </c>
    </row>
    <row r="57" spans="1:19" x14ac:dyDescent="0.35">
      <c r="A57" t="s">
        <v>124</v>
      </c>
      <c r="B57" t="s">
        <v>125</v>
      </c>
      <c r="C57" t="s">
        <v>51</v>
      </c>
      <c r="D57" t="s">
        <v>9</v>
      </c>
      <c r="E57">
        <v>4201.76</v>
      </c>
      <c r="F57" s="1">
        <v>44928</v>
      </c>
      <c r="G57" t="str">
        <f>_xlfn.XLOOKUP(B57,[1]appointments!$A$1:$A$201,[1]appointments!$B$1:$B$201, ,0)</f>
        <v>P049</v>
      </c>
      <c r="H57" t="str">
        <f>_xlfn.XLOOKUP(G57,[2]patients!$A$1:$A$51,[2]patients!$B$1:$B$51, ,0)</f>
        <v>David</v>
      </c>
      <c r="I57" t="str">
        <f>_xlfn.XLOOKUP(G57,[2]patients!$A$1:$A$51,[2]patients!$C$1:$C$51, ,0)</f>
        <v>Moore</v>
      </c>
      <c r="J57" t="str">
        <f>_xlfn.XLOOKUP(G57,[2]patients!$A$1:$A$51,[2]patients!$D$1:$D$51, ,0)</f>
        <v>M</v>
      </c>
      <c r="K57" t="str">
        <f>_xlfn.XLOOKUP(G57,[2]patients!$A$1:$A$51,[2]patients!$I$1:$I$51, ,0)</f>
        <v>MedCare Plus</v>
      </c>
      <c r="L57" t="str">
        <f>_xlfn.XLOOKUP(G57,[1]appointments!$B$1:$B$201,[1]appointments!$A$1:$A$201, ,0)</f>
        <v>A024</v>
      </c>
      <c r="M57" t="str">
        <f>_xlfn.XLOOKUP(G57,[1]appointments!$B$1:$B$201,[1]appointments!$F$1:$F$201, ,0)</f>
        <v>Checkup</v>
      </c>
      <c r="N57" t="str">
        <f>_xlfn.XLOOKUP(P57,[3]doctors!$A$1:$A$11,[3]doctors!$B$1:$B$11, ,0)</f>
        <v>Linda</v>
      </c>
      <c r="O57" t="str">
        <f>_xlfn.XLOOKUP(P57,[3]doctors!$A$1:$A$11,[3]doctors!$C$1:$C$11, ,0)</f>
        <v>Brown</v>
      </c>
      <c r="P57" t="str">
        <f>_xlfn.XLOOKUP(G57,[1]appointments!$B$1:$B$201,[1]appointments!$C$1:$C$201, ,0)</f>
        <v>D008</v>
      </c>
      <c r="Q57" t="str">
        <f>_xlfn.XLOOKUP(P57,[3]doctors!$A$1:$A$11,[3]doctors!$D$1:$D$11, ,0)</f>
        <v>Dermatology</v>
      </c>
      <c r="R57" t="str">
        <f>_xlfn.XLOOKUP(G57,[1]appointments!$B$1:$B$201,[1]appointments!$G$1:$G$201, ,0)</f>
        <v>Completed</v>
      </c>
      <c r="S57" s="1">
        <f>_xlfn.XLOOKUP(management_table[[#This Row],[ Patient Id]],[1]appointments!$B$1:$B$201,[1]appointments!$D$1:$D$201, ,0)</f>
        <v>45098</v>
      </c>
    </row>
    <row r="58" spans="1:19" x14ac:dyDescent="0.35">
      <c r="A58" t="s">
        <v>126</v>
      </c>
      <c r="B58" t="s">
        <v>127</v>
      </c>
      <c r="C58" t="s">
        <v>12</v>
      </c>
      <c r="D58" t="s">
        <v>13</v>
      </c>
      <c r="E58">
        <v>2406.8200000000002</v>
      </c>
      <c r="F58" s="1">
        <v>45031</v>
      </c>
      <c r="G58" t="str">
        <f>_xlfn.XLOOKUP(B58,[1]appointments!$A$1:$A$201,[1]appointments!$B$1:$B$201, ,0)</f>
        <v>P028</v>
      </c>
      <c r="H58" t="str">
        <f>_xlfn.XLOOKUP(G58,[2]patients!$A$1:$A$51,[2]patients!$B$1:$B$51, ,0)</f>
        <v>Alex</v>
      </c>
      <c r="I58" t="str">
        <f>_xlfn.XLOOKUP(G58,[2]patients!$A$1:$A$51,[2]patients!$C$1:$C$51, ,0)</f>
        <v>Moore</v>
      </c>
      <c r="J58" t="str">
        <f>_xlfn.XLOOKUP(G58,[2]patients!$A$1:$A$51,[2]patients!$D$1:$D$51, ,0)</f>
        <v>M</v>
      </c>
      <c r="K58" t="str">
        <f>_xlfn.XLOOKUP(G58,[2]patients!$A$1:$A$51,[2]patients!$I$1:$I$51, ,0)</f>
        <v>MedCare Plus</v>
      </c>
      <c r="L58" t="str">
        <f>_xlfn.XLOOKUP(G58,[1]appointments!$B$1:$B$201,[1]appointments!$A$1:$A$201, ,0)</f>
        <v>A021</v>
      </c>
      <c r="M58" t="str">
        <f>_xlfn.XLOOKUP(G58,[1]appointments!$B$1:$B$201,[1]appointments!$F$1:$F$201, ,0)</f>
        <v>Therapy</v>
      </c>
      <c r="N58" t="str">
        <f>_xlfn.XLOOKUP(P58,[3]doctors!$A$1:$A$11,[3]doctors!$B$1:$B$11, ,0)</f>
        <v>Sarah</v>
      </c>
      <c r="O58" t="str">
        <f>_xlfn.XLOOKUP(P58,[3]doctors!$A$1:$A$11,[3]doctors!$C$1:$C$11, ,0)</f>
        <v>Smith</v>
      </c>
      <c r="P58" t="str">
        <f>_xlfn.XLOOKUP(G58,[1]appointments!$B$1:$B$201,[1]appointments!$C$1:$C$201, ,0)</f>
        <v>D009</v>
      </c>
      <c r="Q58" t="str">
        <f>_xlfn.XLOOKUP(P58,[3]doctors!$A$1:$A$11,[3]doctors!$D$1:$D$11, ,0)</f>
        <v>Pediatrics</v>
      </c>
      <c r="R58" t="str">
        <f>_xlfn.XLOOKUP(G58,[1]appointments!$B$1:$B$201,[1]appointments!$G$1:$G$201, ,0)</f>
        <v>No-show</v>
      </c>
      <c r="S58" s="1">
        <f>_xlfn.XLOOKUP(management_table[[#This Row],[ Patient Id]],[1]appointments!$B$1:$B$201,[1]appointments!$D$1:$D$201, ,0)</f>
        <v>45040</v>
      </c>
    </row>
    <row r="59" spans="1:19" x14ac:dyDescent="0.35">
      <c r="A59" t="s">
        <v>128</v>
      </c>
      <c r="B59" t="s">
        <v>129</v>
      </c>
      <c r="C59" t="s">
        <v>28</v>
      </c>
      <c r="D59" t="s">
        <v>16</v>
      </c>
      <c r="E59">
        <v>3503.97</v>
      </c>
      <c r="F59" s="1">
        <v>45055</v>
      </c>
      <c r="G59" t="str">
        <f>_xlfn.XLOOKUP(B59,[1]appointments!$A$1:$A$201,[1]appointments!$B$1:$B$201, ,0)</f>
        <v>P032</v>
      </c>
      <c r="H59" t="str">
        <f>_xlfn.XLOOKUP(G59,[2]patients!$A$1:$A$51,[2]patients!$B$1:$B$51, ,0)</f>
        <v>Alex</v>
      </c>
      <c r="I59" t="str">
        <f>_xlfn.XLOOKUP(G59,[2]patients!$A$1:$A$51,[2]patients!$C$1:$C$51, ,0)</f>
        <v>Moore</v>
      </c>
      <c r="J59" t="str">
        <f>_xlfn.XLOOKUP(G59,[2]patients!$A$1:$A$51,[2]patients!$D$1:$D$51, ,0)</f>
        <v>M</v>
      </c>
      <c r="K59" t="str">
        <f>_xlfn.XLOOKUP(G59,[2]patients!$A$1:$A$51,[2]patients!$I$1:$I$51, ,0)</f>
        <v>MedCare Plus</v>
      </c>
      <c r="L59" t="str">
        <f>_xlfn.XLOOKUP(G59,[1]appointments!$B$1:$B$201,[1]appointments!$A$1:$A$201, ,0)</f>
        <v>A002</v>
      </c>
      <c r="M59" t="str">
        <f>_xlfn.XLOOKUP(G59,[1]appointments!$B$1:$B$201,[1]appointments!$F$1:$F$201, ,0)</f>
        <v>Therapy</v>
      </c>
      <c r="N59" t="str">
        <f>_xlfn.XLOOKUP(P59,[3]doctors!$A$1:$A$11,[3]doctors!$B$1:$B$11, ,0)</f>
        <v>David</v>
      </c>
      <c r="O59" t="str">
        <f>_xlfn.XLOOKUP(P59,[3]doctors!$A$1:$A$11,[3]doctors!$C$1:$C$11, ,0)</f>
        <v>Jones</v>
      </c>
      <c r="P59" t="str">
        <f>_xlfn.XLOOKUP(G59,[1]appointments!$B$1:$B$201,[1]appointments!$C$1:$C$201, ,0)</f>
        <v>D004</v>
      </c>
      <c r="Q59" t="str">
        <f>_xlfn.XLOOKUP(P59,[3]doctors!$A$1:$A$11,[3]doctors!$D$1:$D$11, ,0)</f>
        <v>Pediatrics</v>
      </c>
      <c r="R59" t="str">
        <f>_xlfn.XLOOKUP(G59,[1]appointments!$B$1:$B$201,[1]appointments!$G$1:$G$201, ,0)</f>
        <v>No-show</v>
      </c>
      <c r="S59" s="1">
        <f>_xlfn.XLOOKUP(management_table[[#This Row],[ Patient Id]],[1]appointments!$B$1:$B$201,[1]appointments!$D$1:$D$201, ,0)</f>
        <v>45086</v>
      </c>
    </row>
    <row r="60" spans="1:19" x14ac:dyDescent="0.35">
      <c r="A60" t="s">
        <v>130</v>
      </c>
      <c r="B60" t="s">
        <v>131</v>
      </c>
      <c r="C60" t="s">
        <v>21</v>
      </c>
      <c r="D60" t="s">
        <v>16</v>
      </c>
      <c r="E60">
        <v>929.91</v>
      </c>
      <c r="F60" s="1">
        <v>44994</v>
      </c>
      <c r="G60" t="str">
        <f>_xlfn.XLOOKUP(B60,[1]appointments!$A$1:$A$201,[1]appointments!$B$1:$B$201, ,0)</f>
        <v>P027</v>
      </c>
      <c r="H60" t="str">
        <f>_xlfn.XLOOKUP(G60,[2]patients!$A$1:$A$51,[2]patients!$B$1:$B$51, ,0)</f>
        <v>Linda</v>
      </c>
      <c r="I60" t="str">
        <f>_xlfn.XLOOKUP(G60,[2]patients!$A$1:$A$51,[2]patients!$C$1:$C$51, ,0)</f>
        <v>Moore</v>
      </c>
      <c r="J60" t="str">
        <f>_xlfn.XLOOKUP(G60,[2]patients!$A$1:$A$51,[2]patients!$D$1:$D$51, ,0)</f>
        <v>F</v>
      </c>
      <c r="K60" t="str">
        <f>_xlfn.XLOOKUP(G60,[2]patients!$A$1:$A$51,[2]patients!$I$1:$I$51, ,0)</f>
        <v>HealthIndia</v>
      </c>
      <c r="L60" t="str">
        <f>_xlfn.XLOOKUP(G60,[1]appointments!$B$1:$B$201,[1]appointments!$A$1:$A$201, ,0)</f>
        <v>A059</v>
      </c>
      <c r="M60" t="str">
        <f>_xlfn.XLOOKUP(G60,[1]appointments!$B$1:$B$201,[1]appointments!$F$1:$F$201, ,0)</f>
        <v>Therapy</v>
      </c>
      <c r="N60" t="str">
        <f>_xlfn.XLOOKUP(P60,[3]doctors!$A$1:$A$11,[3]doctors!$B$1:$B$11, ,0)</f>
        <v>Linda</v>
      </c>
      <c r="O60" t="str">
        <f>_xlfn.XLOOKUP(P60,[3]doctors!$A$1:$A$11,[3]doctors!$C$1:$C$11, ,0)</f>
        <v>Wilson</v>
      </c>
      <c r="P60" t="str">
        <f>_xlfn.XLOOKUP(G60,[1]appointments!$B$1:$B$201,[1]appointments!$C$1:$C$201, ,0)</f>
        <v>D010</v>
      </c>
      <c r="Q60" t="str">
        <f>_xlfn.XLOOKUP(P60,[3]doctors!$A$1:$A$11,[3]doctors!$D$1:$D$11, ,0)</f>
        <v>Oncology</v>
      </c>
      <c r="R60" t="str">
        <f>_xlfn.XLOOKUP(G60,[1]appointments!$B$1:$B$201,[1]appointments!$G$1:$G$201, ,0)</f>
        <v>Cancelled</v>
      </c>
      <c r="S60" s="1">
        <f>_xlfn.XLOOKUP(management_table[[#This Row],[ Patient Id]],[1]appointments!$B$1:$B$201,[1]appointments!$D$1:$D$201, ,0)</f>
        <v>44994</v>
      </c>
    </row>
    <row r="61" spans="1:19" x14ac:dyDescent="0.35">
      <c r="A61" t="s">
        <v>132</v>
      </c>
      <c r="B61" t="s">
        <v>133</v>
      </c>
      <c r="C61" t="s">
        <v>28</v>
      </c>
      <c r="D61" t="s">
        <v>9</v>
      </c>
      <c r="E61">
        <v>3307.37</v>
      </c>
      <c r="F61" s="1">
        <v>45252</v>
      </c>
      <c r="G61" t="str">
        <f>_xlfn.XLOOKUP(B61,[1]appointments!$A$1:$A$201,[1]appointments!$B$1:$B$201, ,0)</f>
        <v>P020</v>
      </c>
      <c r="H61" t="str">
        <f>_xlfn.XLOOKUP(G61,[2]patients!$A$1:$A$51,[2]patients!$B$1:$B$51, ,0)</f>
        <v>Jane</v>
      </c>
      <c r="I61" t="str">
        <f>_xlfn.XLOOKUP(G61,[2]patients!$A$1:$A$51,[2]patients!$C$1:$C$51, ,0)</f>
        <v>Moore</v>
      </c>
      <c r="J61" t="str">
        <f>_xlfn.XLOOKUP(G61,[2]patients!$A$1:$A$51,[2]patients!$D$1:$D$51, ,0)</f>
        <v>F</v>
      </c>
      <c r="K61" t="str">
        <f>_xlfn.XLOOKUP(G61,[2]patients!$A$1:$A$51,[2]patients!$I$1:$I$51, ,0)</f>
        <v>MedCare Plus</v>
      </c>
      <c r="L61" t="str">
        <f>_xlfn.XLOOKUP(G61,[1]appointments!$B$1:$B$201,[1]appointments!$A$1:$A$201, ,0)</f>
        <v>A060</v>
      </c>
      <c r="M61" t="str">
        <f>_xlfn.XLOOKUP(G61,[1]appointments!$B$1:$B$201,[1]appointments!$F$1:$F$201, ,0)</f>
        <v>Checkup</v>
      </c>
      <c r="N61" t="str">
        <f>_xlfn.XLOOKUP(P61,[3]doctors!$A$1:$A$11,[3]doctors!$B$1:$B$11, ,0)</f>
        <v>Jane</v>
      </c>
      <c r="O61" t="str">
        <f>_xlfn.XLOOKUP(P61,[3]doctors!$A$1:$A$11,[3]doctors!$C$1:$C$11, ,0)</f>
        <v>Davis</v>
      </c>
      <c r="P61" t="str">
        <f>_xlfn.XLOOKUP(G61,[1]appointments!$B$1:$B$201,[1]appointments!$C$1:$C$201, ,0)</f>
        <v>D002</v>
      </c>
      <c r="Q61" t="str">
        <f>_xlfn.XLOOKUP(P61,[3]doctors!$A$1:$A$11,[3]doctors!$D$1:$D$11, ,0)</f>
        <v>Pediatrics</v>
      </c>
      <c r="R61" t="str">
        <f>_xlfn.XLOOKUP(G61,[1]appointments!$B$1:$B$201,[1]appointments!$G$1:$G$201, ,0)</f>
        <v>No-show</v>
      </c>
      <c r="S61" s="1">
        <f>_xlfn.XLOOKUP(management_table[[#This Row],[ Patient Id]],[1]appointments!$B$1:$B$201,[1]appointments!$D$1:$D$201, ,0)</f>
        <v>45252</v>
      </c>
    </row>
    <row r="62" spans="1:19" x14ac:dyDescent="0.35">
      <c r="A62" t="s">
        <v>134</v>
      </c>
      <c r="B62" t="s">
        <v>135</v>
      </c>
      <c r="C62" t="s">
        <v>51</v>
      </c>
      <c r="D62" t="s">
        <v>16</v>
      </c>
      <c r="E62">
        <v>2532.9499999999998</v>
      </c>
      <c r="F62" s="1">
        <v>44941</v>
      </c>
      <c r="G62" t="str">
        <f>_xlfn.XLOOKUP(B62,[1]appointments!$A$1:$A$201,[1]appointments!$B$1:$B$201, ,0)</f>
        <v>P024</v>
      </c>
      <c r="H62" t="str">
        <f>_xlfn.XLOOKUP(G62,[2]patients!$A$1:$A$51,[2]patients!$B$1:$B$51, ,0)</f>
        <v>Sarah</v>
      </c>
      <c r="I62" t="str">
        <f>_xlfn.XLOOKUP(G62,[2]patients!$A$1:$A$51,[2]patients!$C$1:$C$51, ,0)</f>
        <v>Brown</v>
      </c>
      <c r="J62" t="str">
        <f>_xlfn.XLOOKUP(G62,[2]patients!$A$1:$A$51,[2]patients!$D$1:$D$51, ,0)</f>
        <v>F</v>
      </c>
      <c r="K62" t="str">
        <f>_xlfn.XLOOKUP(G62,[2]patients!$A$1:$A$51,[2]patients!$I$1:$I$51, ,0)</f>
        <v>WellnessCorp</v>
      </c>
      <c r="L62" t="str">
        <f>_xlfn.XLOOKUP(G62,[1]appointments!$B$1:$B$201,[1]appointments!$A$1:$A$201, ,0)</f>
        <v>A053</v>
      </c>
      <c r="M62" t="str">
        <f>_xlfn.XLOOKUP(G62,[1]appointments!$B$1:$B$201,[1]appointments!$F$1:$F$201, ,0)</f>
        <v>Checkup</v>
      </c>
      <c r="N62" t="str">
        <f>_xlfn.XLOOKUP(P62,[3]doctors!$A$1:$A$11,[3]doctors!$B$1:$B$11, ,0)</f>
        <v>Sarah</v>
      </c>
      <c r="O62" t="str">
        <f>_xlfn.XLOOKUP(P62,[3]doctors!$A$1:$A$11,[3]doctors!$C$1:$C$11, ,0)</f>
        <v>Taylor</v>
      </c>
      <c r="P62" t="str">
        <f>_xlfn.XLOOKUP(G62,[1]appointments!$B$1:$B$201,[1]appointments!$C$1:$C$201, ,0)</f>
        <v>D005</v>
      </c>
      <c r="Q62" t="str">
        <f>_xlfn.XLOOKUP(P62,[3]doctors!$A$1:$A$11,[3]doctors!$D$1:$D$11, ,0)</f>
        <v>Dermatology</v>
      </c>
      <c r="R62" t="str">
        <f>_xlfn.XLOOKUP(G62,[1]appointments!$B$1:$B$201,[1]appointments!$G$1:$G$201, ,0)</f>
        <v>Cancelled</v>
      </c>
      <c r="S62" s="1">
        <f>_xlfn.XLOOKUP(management_table[[#This Row],[ Patient Id]],[1]appointments!$B$1:$B$201,[1]appointments!$D$1:$D$201, ,0)</f>
        <v>44969</v>
      </c>
    </row>
    <row r="63" spans="1:19" x14ac:dyDescent="0.35">
      <c r="A63" t="s">
        <v>136</v>
      </c>
      <c r="B63" t="s">
        <v>137</v>
      </c>
      <c r="C63" t="s">
        <v>51</v>
      </c>
      <c r="D63" t="s">
        <v>16</v>
      </c>
      <c r="E63">
        <v>3139.74</v>
      </c>
      <c r="F63" s="1">
        <v>45091</v>
      </c>
      <c r="G63" t="str">
        <f>_xlfn.XLOOKUP(B63,[1]appointments!$A$1:$A$201,[1]appointments!$B$1:$B$201, ,0)</f>
        <v>P012</v>
      </c>
      <c r="H63" t="str">
        <f>_xlfn.XLOOKUP(G63,[2]patients!$A$1:$A$51,[2]patients!$B$1:$B$51, ,0)</f>
        <v>Laura</v>
      </c>
      <c r="I63" t="str">
        <f>_xlfn.XLOOKUP(G63,[2]patients!$A$1:$A$51,[2]patients!$C$1:$C$51, ,0)</f>
        <v>Davis</v>
      </c>
      <c r="J63" t="str">
        <f>_xlfn.XLOOKUP(G63,[2]patients!$A$1:$A$51,[2]patients!$D$1:$D$51, ,0)</f>
        <v>F</v>
      </c>
      <c r="K63" t="str">
        <f>_xlfn.XLOOKUP(G63,[2]patients!$A$1:$A$51,[2]patients!$I$1:$I$51, ,0)</f>
        <v>MedCare Plus</v>
      </c>
      <c r="L63" t="str">
        <f>_xlfn.XLOOKUP(G63,[1]appointments!$B$1:$B$201,[1]appointments!$A$1:$A$201, ,0)</f>
        <v>A014</v>
      </c>
      <c r="M63" t="str">
        <f>_xlfn.XLOOKUP(G63,[1]appointments!$B$1:$B$201,[1]appointments!$F$1:$F$201, ,0)</f>
        <v>Emergency</v>
      </c>
      <c r="N63" t="str">
        <f>_xlfn.XLOOKUP(P63,[3]doctors!$A$1:$A$11,[3]doctors!$B$1:$B$11, ,0)</f>
        <v>Linda</v>
      </c>
      <c r="O63" t="str">
        <f>_xlfn.XLOOKUP(P63,[3]doctors!$A$1:$A$11,[3]doctors!$C$1:$C$11, ,0)</f>
        <v>Wilson</v>
      </c>
      <c r="P63" t="str">
        <f>_xlfn.XLOOKUP(G63,[1]appointments!$B$1:$B$201,[1]appointments!$C$1:$C$201, ,0)</f>
        <v>D010</v>
      </c>
      <c r="Q63" t="str">
        <f>_xlfn.XLOOKUP(P63,[3]doctors!$A$1:$A$11,[3]doctors!$D$1:$D$11, ,0)</f>
        <v>Oncology</v>
      </c>
      <c r="R63" t="str">
        <f>_xlfn.XLOOKUP(G63,[1]appointments!$B$1:$B$201,[1]appointments!$G$1:$G$201, ,0)</f>
        <v>Cancelled</v>
      </c>
      <c r="S63" s="1">
        <f>_xlfn.XLOOKUP(management_table[[#This Row],[ Patient Id]],[1]appointments!$B$1:$B$201,[1]appointments!$D$1:$D$201, ,0)</f>
        <v>45071</v>
      </c>
    </row>
    <row r="64" spans="1:19" x14ac:dyDescent="0.35">
      <c r="A64" t="s">
        <v>138</v>
      </c>
      <c r="B64" t="s">
        <v>139</v>
      </c>
      <c r="C64" t="s">
        <v>12</v>
      </c>
      <c r="D64" t="s">
        <v>16</v>
      </c>
      <c r="E64">
        <v>1256.06</v>
      </c>
      <c r="F64" s="1">
        <v>45106</v>
      </c>
      <c r="G64" t="str">
        <f>_xlfn.XLOOKUP(B64,[1]appointments!$A$1:$A$201,[1]appointments!$B$1:$B$201, ,0)</f>
        <v>P050</v>
      </c>
      <c r="H64" t="str">
        <f>_xlfn.XLOOKUP(G64,[2]patients!$A$1:$A$51,[2]patients!$B$1:$B$51, ,0)</f>
        <v>Laura</v>
      </c>
      <c r="I64" t="str">
        <f>_xlfn.XLOOKUP(G64,[2]patients!$A$1:$A$51,[2]patients!$C$1:$C$51, ,0)</f>
        <v>Wilson</v>
      </c>
      <c r="J64" t="str">
        <f>_xlfn.XLOOKUP(G64,[2]patients!$A$1:$A$51,[2]patients!$D$1:$D$51, ,0)</f>
        <v>M</v>
      </c>
      <c r="K64" t="str">
        <f>_xlfn.XLOOKUP(G64,[2]patients!$A$1:$A$51,[2]patients!$I$1:$I$51, ,0)</f>
        <v>WellnessCorp</v>
      </c>
      <c r="L64" t="str">
        <f>_xlfn.XLOOKUP(G64,[1]appointments!$B$1:$B$201,[1]appointments!$A$1:$A$201, ,0)</f>
        <v>A063</v>
      </c>
      <c r="M64" t="str">
        <f>_xlfn.XLOOKUP(G64,[1]appointments!$B$1:$B$201,[1]appointments!$F$1:$F$201, ,0)</f>
        <v>Follow-up</v>
      </c>
      <c r="N64" t="str">
        <f>_xlfn.XLOOKUP(P64,[3]doctors!$A$1:$A$11,[3]doctors!$B$1:$B$11, ,0)</f>
        <v>David</v>
      </c>
      <c r="O64" t="str">
        <f>_xlfn.XLOOKUP(P64,[3]doctors!$A$1:$A$11,[3]doctors!$C$1:$C$11, ,0)</f>
        <v>Jones</v>
      </c>
      <c r="P64" t="str">
        <f>_xlfn.XLOOKUP(G64,[1]appointments!$B$1:$B$201,[1]appointments!$C$1:$C$201, ,0)</f>
        <v>D004</v>
      </c>
      <c r="Q64" t="str">
        <f>_xlfn.XLOOKUP(P64,[3]doctors!$A$1:$A$11,[3]doctors!$D$1:$D$11, ,0)</f>
        <v>Pediatrics</v>
      </c>
      <c r="R64" t="str">
        <f>_xlfn.XLOOKUP(G64,[1]appointments!$B$1:$B$201,[1]appointments!$G$1:$G$201, ,0)</f>
        <v>Scheduled</v>
      </c>
      <c r="S64" s="1">
        <f>_xlfn.XLOOKUP(management_table[[#This Row],[ Patient Id]],[1]appointments!$B$1:$B$201,[1]appointments!$D$1:$D$201, ,0)</f>
        <v>45106</v>
      </c>
    </row>
    <row r="65" spans="1:19" x14ac:dyDescent="0.35">
      <c r="A65" t="s">
        <v>140</v>
      </c>
      <c r="B65" t="s">
        <v>141</v>
      </c>
      <c r="C65" t="s">
        <v>28</v>
      </c>
      <c r="D65" t="s">
        <v>9</v>
      </c>
      <c r="E65">
        <v>3815.93</v>
      </c>
      <c r="F65" s="1">
        <v>45077</v>
      </c>
      <c r="G65" t="str">
        <f>_xlfn.XLOOKUP(B65,[1]appointments!$A$1:$A$201,[1]appointments!$B$1:$B$201, ,0)</f>
        <v>P035</v>
      </c>
      <c r="H65" t="str">
        <f>_xlfn.XLOOKUP(G65,[2]patients!$A$1:$A$51,[2]patients!$B$1:$B$51, ,0)</f>
        <v>David</v>
      </c>
      <c r="I65" t="str">
        <f>_xlfn.XLOOKUP(G65,[2]patients!$A$1:$A$51,[2]patients!$C$1:$C$51, ,0)</f>
        <v>Wilson</v>
      </c>
      <c r="J65" t="str">
        <f>_xlfn.XLOOKUP(G65,[2]patients!$A$1:$A$51,[2]patients!$D$1:$D$51, ,0)</f>
        <v>F</v>
      </c>
      <c r="K65" t="str">
        <f>_xlfn.XLOOKUP(G65,[2]patients!$A$1:$A$51,[2]patients!$I$1:$I$51, ,0)</f>
        <v>MedCare Plus</v>
      </c>
      <c r="L65" t="str">
        <f>_xlfn.XLOOKUP(G65,[1]appointments!$B$1:$B$201,[1]appointments!$A$1:$A$201, ,0)</f>
        <v>A064</v>
      </c>
      <c r="M65" t="str">
        <f>_xlfn.XLOOKUP(G65,[1]appointments!$B$1:$B$201,[1]appointments!$F$1:$F$201, ,0)</f>
        <v>Checkup</v>
      </c>
      <c r="N65" t="str">
        <f>_xlfn.XLOOKUP(P65,[3]doctors!$A$1:$A$11,[3]doctors!$B$1:$B$11, ,0)</f>
        <v>Alex</v>
      </c>
      <c r="O65" t="str">
        <f>_xlfn.XLOOKUP(P65,[3]doctors!$A$1:$A$11,[3]doctors!$C$1:$C$11, ,0)</f>
        <v>Davis</v>
      </c>
      <c r="P65" t="str">
        <f>_xlfn.XLOOKUP(G65,[1]appointments!$B$1:$B$201,[1]appointments!$C$1:$C$201, ,0)</f>
        <v>D006</v>
      </c>
      <c r="Q65" t="str">
        <f>_xlfn.XLOOKUP(P65,[3]doctors!$A$1:$A$11,[3]doctors!$D$1:$D$11, ,0)</f>
        <v>Pediatrics</v>
      </c>
      <c r="R65" t="str">
        <f>_xlfn.XLOOKUP(G65,[1]appointments!$B$1:$B$201,[1]appointments!$G$1:$G$201, ,0)</f>
        <v>Cancelled</v>
      </c>
      <c r="S65" s="1">
        <f>_xlfn.XLOOKUP(management_table[[#This Row],[ Patient Id]],[1]appointments!$B$1:$B$201,[1]appointments!$D$1:$D$201, ,0)</f>
        <v>45077</v>
      </c>
    </row>
    <row r="66" spans="1:19" x14ac:dyDescent="0.35">
      <c r="A66" t="s">
        <v>142</v>
      </c>
      <c r="B66" t="s">
        <v>143</v>
      </c>
      <c r="C66" t="s">
        <v>21</v>
      </c>
      <c r="D66" t="s">
        <v>13</v>
      </c>
      <c r="E66">
        <v>4382.59</v>
      </c>
      <c r="F66" s="1">
        <v>45040</v>
      </c>
      <c r="G66" t="str">
        <f>_xlfn.XLOOKUP(B66,[1]appointments!$A$1:$A$201,[1]appointments!$B$1:$B$201, ,0)</f>
        <v>P033</v>
      </c>
      <c r="H66" t="str">
        <f>_xlfn.XLOOKUP(G66,[2]patients!$A$1:$A$51,[2]patients!$B$1:$B$51, ,0)</f>
        <v>Michael</v>
      </c>
      <c r="I66" t="str">
        <f>_xlfn.XLOOKUP(G66,[2]patients!$A$1:$A$51,[2]patients!$C$1:$C$51, ,0)</f>
        <v>Wilson</v>
      </c>
      <c r="J66" t="str">
        <f>_xlfn.XLOOKUP(G66,[2]patients!$A$1:$A$51,[2]patients!$D$1:$D$51, ,0)</f>
        <v>F</v>
      </c>
      <c r="K66" t="str">
        <f>_xlfn.XLOOKUP(G66,[2]patients!$A$1:$A$51,[2]patients!$I$1:$I$51, ,0)</f>
        <v>MedCare Plus</v>
      </c>
      <c r="L66" t="str">
        <f>_xlfn.XLOOKUP(G66,[1]appointments!$B$1:$B$201,[1]appointments!$A$1:$A$201, ,0)</f>
        <v>A036</v>
      </c>
      <c r="M66" t="str">
        <f>_xlfn.XLOOKUP(G66,[1]appointments!$B$1:$B$201,[1]appointments!$F$1:$F$201, ,0)</f>
        <v>Checkup</v>
      </c>
      <c r="N66" t="str">
        <f>_xlfn.XLOOKUP(P66,[3]doctors!$A$1:$A$11,[3]doctors!$B$1:$B$11, ,0)</f>
        <v>Jane</v>
      </c>
      <c r="O66" t="str">
        <f>_xlfn.XLOOKUP(P66,[3]doctors!$A$1:$A$11,[3]doctors!$C$1:$C$11, ,0)</f>
        <v>Smith</v>
      </c>
      <c r="P66" t="str">
        <f>_xlfn.XLOOKUP(G66,[1]appointments!$B$1:$B$201,[1]appointments!$C$1:$C$201, ,0)</f>
        <v>D003</v>
      </c>
      <c r="Q66" t="str">
        <f>_xlfn.XLOOKUP(P66,[3]doctors!$A$1:$A$11,[3]doctors!$D$1:$D$11, ,0)</f>
        <v>Pediatrics</v>
      </c>
      <c r="R66" t="str">
        <f>_xlfn.XLOOKUP(G66,[1]appointments!$B$1:$B$201,[1]appointments!$G$1:$G$201, ,0)</f>
        <v>No-show</v>
      </c>
      <c r="S66" s="1">
        <f>_xlfn.XLOOKUP(management_table[[#This Row],[ Patient Id]],[1]appointments!$B$1:$B$201,[1]appointments!$D$1:$D$201, ,0)</f>
        <v>44934</v>
      </c>
    </row>
    <row r="67" spans="1:19" x14ac:dyDescent="0.35">
      <c r="A67" t="s">
        <v>144</v>
      </c>
      <c r="B67" t="s">
        <v>145</v>
      </c>
      <c r="C67" t="s">
        <v>21</v>
      </c>
      <c r="D67" t="s">
        <v>13</v>
      </c>
      <c r="E67">
        <v>1475.33</v>
      </c>
      <c r="F67" s="1">
        <v>45056</v>
      </c>
      <c r="G67" t="str">
        <f>_xlfn.XLOOKUP(B67,[1]appointments!$A$1:$A$201,[1]appointments!$B$1:$B$201, ,0)</f>
        <v>P033</v>
      </c>
      <c r="H67" t="str">
        <f>_xlfn.XLOOKUP(G67,[2]patients!$A$1:$A$51,[2]patients!$B$1:$B$51, ,0)</f>
        <v>Michael</v>
      </c>
      <c r="I67" t="str">
        <f>_xlfn.XLOOKUP(G67,[2]patients!$A$1:$A$51,[2]patients!$C$1:$C$51, ,0)</f>
        <v>Wilson</v>
      </c>
      <c r="J67" t="str">
        <f>_xlfn.XLOOKUP(G67,[2]patients!$A$1:$A$51,[2]patients!$D$1:$D$51, ,0)</f>
        <v>F</v>
      </c>
      <c r="K67" t="str">
        <f>_xlfn.XLOOKUP(G67,[2]patients!$A$1:$A$51,[2]patients!$I$1:$I$51, ,0)</f>
        <v>MedCare Plus</v>
      </c>
      <c r="L67" t="str">
        <f>_xlfn.XLOOKUP(G67,[1]appointments!$B$1:$B$201,[1]appointments!$A$1:$A$201, ,0)</f>
        <v>A036</v>
      </c>
      <c r="M67" t="str">
        <f>_xlfn.XLOOKUP(G67,[1]appointments!$B$1:$B$201,[1]appointments!$F$1:$F$201, ,0)</f>
        <v>Checkup</v>
      </c>
      <c r="N67" t="str">
        <f>_xlfn.XLOOKUP(P67,[3]doctors!$A$1:$A$11,[3]doctors!$B$1:$B$11, ,0)</f>
        <v>Jane</v>
      </c>
      <c r="O67" t="str">
        <f>_xlfn.XLOOKUP(P67,[3]doctors!$A$1:$A$11,[3]doctors!$C$1:$C$11, ,0)</f>
        <v>Smith</v>
      </c>
      <c r="P67" t="str">
        <f>_xlfn.XLOOKUP(G67,[1]appointments!$B$1:$B$201,[1]appointments!$C$1:$C$201, ,0)</f>
        <v>D003</v>
      </c>
      <c r="Q67" t="str">
        <f>_xlfn.XLOOKUP(P67,[3]doctors!$A$1:$A$11,[3]doctors!$D$1:$D$11, ,0)</f>
        <v>Pediatrics</v>
      </c>
      <c r="R67" t="str">
        <f>_xlfn.XLOOKUP(G67,[1]appointments!$B$1:$B$201,[1]appointments!$G$1:$G$201, ,0)</f>
        <v>No-show</v>
      </c>
      <c r="S67" s="1">
        <f>_xlfn.XLOOKUP(management_table[[#This Row],[ Patient Id]],[1]appointments!$B$1:$B$201,[1]appointments!$D$1:$D$201, ,0)</f>
        <v>44934</v>
      </c>
    </row>
    <row r="68" spans="1:19" x14ac:dyDescent="0.35">
      <c r="A68" t="s">
        <v>146</v>
      </c>
      <c r="B68" t="s">
        <v>147</v>
      </c>
      <c r="C68" t="s">
        <v>8</v>
      </c>
      <c r="D68" t="s">
        <v>16</v>
      </c>
      <c r="E68">
        <v>930.72</v>
      </c>
      <c r="F68" s="1">
        <v>45148</v>
      </c>
      <c r="G68" t="str">
        <f>_xlfn.XLOOKUP(B68,[1]appointments!$A$1:$A$201,[1]appointments!$B$1:$B$201, ,0)</f>
        <v>P043</v>
      </c>
      <c r="H68" t="str">
        <f>_xlfn.XLOOKUP(G68,[2]patients!$A$1:$A$51,[2]patients!$B$1:$B$51, ,0)</f>
        <v>Linda</v>
      </c>
      <c r="I68" t="str">
        <f>_xlfn.XLOOKUP(G68,[2]patients!$A$1:$A$51,[2]patients!$C$1:$C$51, ,0)</f>
        <v>Brown</v>
      </c>
      <c r="J68" t="str">
        <f>_xlfn.XLOOKUP(G68,[2]patients!$A$1:$A$51,[2]patients!$D$1:$D$51, ,0)</f>
        <v>M</v>
      </c>
      <c r="K68" t="str">
        <f>_xlfn.XLOOKUP(G68,[2]patients!$A$1:$A$51,[2]patients!$I$1:$I$51, ,0)</f>
        <v>WellnessCorp</v>
      </c>
      <c r="L68" t="str">
        <f>_xlfn.XLOOKUP(G68,[1]appointments!$B$1:$B$201,[1]appointments!$A$1:$A$201, ,0)</f>
        <v>A067</v>
      </c>
      <c r="M68" t="str">
        <f>_xlfn.XLOOKUP(G68,[1]appointments!$B$1:$B$201,[1]appointments!$F$1:$F$201, ,0)</f>
        <v>Follow-up</v>
      </c>
      <c r="N68" t="str">
        <f>_xlfn.XLOOKUP(P68,[3]doctors!$A$1:$A$11,[3]doctors!$B$1:$B$11, ,0)</f>
        <v>David</v>
      </c>
      <c r="O68" t="str">
        <f>_xlfn.XLOOKUP(P68,[3]doctors!$A$1:$A$11,[3]doctors!$C$1:$C$11, ,0)</f>
        <v>Taylor</v>
      </c>
      <c r="P68" t="str">
        <f>_xlfn.XLOOKUP(G68,[1]appointments!$B$1:$B$201,[1]appointments!$C$1:$C$201, ,0)</f>
        <v>D001</v>
      </c>
      <c r="Q68" t="str">
        <f>_xlfn.XLOOKUP(P68,[3]doctors!$A$1:$A$11,[3]doctors!$D$1:$D$11, ,0)</f>
        <v>Dermatology</v>
      </c>
      <c r="R68" t="str">
        <f>_xlfn.XLOOKUP(G68,[1]appointments!$B$1:$B$201,[1]appointments!$G$1:$G$201, ,0)</f>
        <v>Scheduled</v>
      </c>
      <c r="S68" s="1">
        <f>_xlfn.XLOOKUP(management_table[[#This Row],[ Patient Id]],[1]appointments!$B$1:$B$201,[1]appointments!$D$1:$D$201, ,0)</f>
        <v>45148</v>
      </c>
    </row>
    <row r="69" spans="1:19" x14ac:dyDescent="0.35">
      <c r="A69" t="s">
        <v>148</v>
      </c>
      <c r="B69" t="s">
        <v>149</v>
      </c>
      <c r="C69" t="s">
        <v>21</v>
      </c>
      <c r="D69" t="s">
        <v>13</v>
      </c>
      <c r="E69">
        <v>606.37</v>
      </c>
      <c r="F69" s="1">
        <v>44999</v>
      </c>
      <c r="G69" t="str">
        <f>_xlfn.XLOOKUP(B69,[1]appointments!$A$1:$A$201,[1]appointments!$B$1:$B$201, ,0)</f>
        <v>P037</v>
      </c>
      <c r="H69" t="str">
        <f>_xlfn.XLOOKUP(G69,[2]patients!$A$1:$A$51,[2]patients!$B$1:$B$51, ,0)</f>
        <v>Robert</v>
      </c>
      <c r="I69" t="str">
        <f>_xlfn.XLOOKUP(G69,[2]patients!$A$1:$A$51,[2]patients!$C$1:$C$51, ,0)</f>
        <v>Williams</v>
      </c>
      <c r="J69" t="str">
        <f>_xlfn.XLOOKUP(G69,[2]patients!$A$1:$A$51,[2]patients!$D$1:$D$51, ,0)</f>
        <v>M</v>
      </c>
      <c r="K69" t="str">
        <f>_xlfn.XLOOKUP(G69,[2]patients!$A$1:$A$51,[2]patients!$I$1:$I$51, ,0)</f>
        <v>HealthIndia</v>
      </c>
      <c r="L69" t="str">
        <f>_xlfn.XLOOKUP(G69,[1]appointments!$B$1:$B$201,[1]appointments!$A$1:$A$201, ,0)</f>
        <v>A017</v>
      </c>
      <c r="M69" t="str">
        <f>_xlfn.XLOOKUP(G69,[1]appointments!$B$1:$B$201,[1]appointments!$F$1:$F$201, ,0)</f>
        <v>Emergency</v>
      </c>
      <c r="N69" t="str">
        <f>_xlfn.XLOOKUP(P69,[3]doctors!$A$1:$A$11,[3]doctors!$B$1:$B$11, ,0)</f>
        <v>Sarah</v>
      </c>
      <c r="O69" t="str">
        <f>_xlfn.XLOOKUP(P69,[3]doctors!$A$1:$A$11,[3]doctors!$C$1:$C$11, ,0)</f>
        <v>Smith</v>
      </c>
      <c r="P69" t="str">
        <f>_xlfn.XLOOKUP(G69,[1]appointments!$B$1:$B$201,[1]appointments!$C$1:$C$201, ,0)</f>
        <v>D009</v>
      </c>
      <c r="Q69" t="str">
        <f>_xlfn.XLOOKUP(P69,[3]doctors!$A$1:$A$11,[3]doctors!$D$1:$D$11, ,0)</f>
        <v>Pediatrics</v>
      </c>
      <c r="R69" t="str">
        <f>_xlfn.XLOOKUP(G69,[1]appointments!$B$1:$B$201,[1]appointments!$G$1:$G$201, ,0)</f>
        <v>Scheduled</v>
      </c>
      <c r="S69" s="1">
        <f>_xlfn.XLOOKUP(management_table[[#This Row],[ Patient Id]],[1]appointments!$B$1:$B$201,[1]appointments!$D$1:$D$201, ,0)</f>
        <v>45118</v>
      </c>
    </row>
    <row r="70" spans="1:19" x14ac:dyDescent="0.35">
      <c r="A70" t="s">
        <v>150</v>
      </c>
      <c r="B70" t="s">
        <v>151</v>
      </c>
      <c r="C70" t="s">
        <v>12</v>
      </c>
      <c r="D70" t="s">
        <v>9</v>
      </c>
      <c r="E70">
        <v>3388.87</v>
      </c>
      <c r="F70" s="1">
        <v>45014</v>
      </c>
      <c r="G70" t="str">
        <f>_xlfn.XLOOKUP(B70,[1]appointments!$A$1:$A$201,[1]appointments!$B$1:$B$201, ,0)</f>
        <v>P012</v>
      </c>
      <c r="H70" t="str">
        <f>_xlfn.XLOOKUP(G70,[2]patients!$A$1:$A$51,[2]patients!$B$1:$B$51, ,0)</f>
        <v>Laura</v>
      </c>
      <c r="I70" t="str">
        <f>_xlfn.XLOOKUP(G70,[2]patients!$A$1:$A$51,[2]patients!$C$1:$C$51, ,0)</f>
        <v>Davis</v>
      </c>
      <c r="J70" t="str">
        <f>_xlfn.XLOOKUP(G70,[2]patients!$A$1:$A$51,[2]patients!$D$1:$D$51, ,0)</f>
        <v>F</v>
      </c>
      <c r="K70" t="str">
        <f>_xlfn.XLOOKUP(G70,[2]patients!$A$1:$A$51,[2]patients!$I$1:$I$51, ,0)</f>
        <v>MedCare Plus</v>
      </c>
      <c r="L70" t="str">
        <f>_xlfn.XLOOKUP(G70,[1]appointments!$B$1:$B$201,[1]appointments!$A$1:$A$201, ,0)</f>
        <v>A014</v>
      </c>
      <c r="M70" t="str">
        <f>_xlfn.XLOOKUP(G70,[1]appointments!$B$1:$B$201,[1]appointments!$F$1:$F$201, ,0)</f>
        <v>Emergency</v>
      </c>
      <c r="N70" t="str">
        <f>_xlfn.XLOOKUP(P70,[3]doctors!$A$1:$A$11,[3]doctors!$B$1:$B$11, ,0)</f>
        <v>Linda</v>
      </c>
      <c r="O70" t="str">
        <f>_xlfn.XLOOKUP(P70,[3]doctors!$A$1:$A$11,[3]doctors!$C$1:$C$11, ,0)</f>
        <v>Wilson</v>
      </c>
      <c r="P70" t="str">
        <f>_xlfn.XLOOKUP(G70,[1]appointments!$B$1:$B$201,[1]appointments!$C$1:$C$201, ,0)</f>
        <v>D010</v>
      </c>
      <c r="Q70" t="str">
        <f>_xlfn.XLOOKUP(P70,[3]doctors!$A$1:$A$11,[3]doctors!$D$1:$D$11, ,0)</f>
        <v>Oncology</v>
      </c>
      <c r="R70" t="str">
        <f>_xlfn.XLOOKUP(G70,[1]appointments!$B$1:$B$201,[1]appointments!$G$1:$G$201, ,0)</f>
        <v>Cancelled</v>
      </c>
      <c r="S70" s="1">
        <f>_xlfn.XLOOKUP(management_table[[#This Row],[ Patient Id]],[1]appointments!$B$1:$B$201,[1]appointments!$D$1:$D$201, ,0)</f>
        <v>45071</v>
      </c>
    </row>
    <row r="71" spans="1:19" x14ac:dyDescent="0.35">
      <c r="A71" t="s">
        <v>152</v>
      </c>
      <c r="B71" t="s">
        <v>153</v>
      </c>
      <c r="C71" t="s">
        <v>12</v>
      </c>
      <c r="D71" t="s">
        <v>9</v>
      </c>
      <c r="E71">
        <v>3231.92</v>
      </c>
      <c r="F71" s="1">
        <v>45164</v>
      </c>
      <c r="G71" t="str">
        <f>_xlfn.XLOOKUP(B71,[1]appointments!$A$1:$A$201,[1]appointments!$B$1:$B$201, ,0)</f>
        <v>P003</v>
      </c>
      <c r="H71" t="str">
        <f>_xlfn.XLOOKUP(G71,[2]patients!$A$1:$A$51,[2]patients!$B$1:$B$51, ,0)</f>
        <v>Laura</v>
      </c>
      <c r="I71" t="str">
        <f>_xlfn.XLOOKUP(G71,[2]patients!$A$1:$A$51,[2]patients!$C$1:$C$51, ,0)</f>
        <v>Jones</v>
      </c>
      <c r="J71" t="str">
        <f>_xlfn.XLOOKUP(G71,[2]patients!$A$1:$A$51,[2]patients!$D$1:$D$51, ,0)</f>
        <v>M</v>
      </c>
      <c r="K71" t="str">
        <f>_xlfn.XLOOKUP(G71,[2]patients!$A$1:$A$51,[2]patients!$I$1:$I$51, ,0)</f>
        <v>PulseSecure</v>
      </c>
      <c r="L71" t="str">
        <f>_xlfn.XLOOKUP(G71,[1]appointments!$B$1:$B$201,[1]appointments!$A$1:$A$201, ,0)</f>
        <v>A013</v>
      </c>
      <c r="M71" t="str">
        <f>_xlfn.XLOOKUP(G71,[1]appointments!$B$1:$B$201,[1]appointments!$F$1:$F$201, ,0)</f>
        <v>Emergency</v>
      </c>
      <c r="N71" t="str">
        <f>_xlfn.XLOOKUP(P71,[3]doctors!$A$1:$A$11,[3]doctors!$B$1:$B$11, ,0)</f>
        <v>Jane</v>
      </c>
      <c r="O71" t="str">
        <f>_xlfn.XLOOKUP(P71,[3]doctors!$A$1:$A$11,[3]doctors!$C$1:$C$11, ,0)</f>
        <v>Davis</v>
      </c>
      <c r="P71" t="str">
        <f>_xlfn.XLOOKUP(G71,[1]appointments!$B$1:$B$201,[1]appointments!$C$1:$C$201, ,0)</f>
        <v>D002</v>
      </c>
      <c r="Q71" t="str">
        <f>_xlfn.XLOOKUP(P71,[3]doctors!$A$1:$A$11,[3]doctors!$D$1:$D$11, ,0)</f>
        <v>Pediatrics</v>
      </c>
      <c r="R71" t="str">
        <f>_xlfn.XLOOKUP(G71,[1]appointments!$B$1:$B$201,[1]appointments!$G$1:$G$201, ,0)</f>
        <v>Scheduled</v>
      </c>
      <c r="S71" s="1">
        <f>_xlfn.XLOOKUP(management_table[[#This Row],[ Patient Id]],[1]appointments!$B$1:$B$201,[1]appointments!$D$1:$D$201, ,0)</f>
        <v>45154</v>
      </c>
    </row>
    <row r="72" spans="1:19" x14ac:dyDescent="0.35">
      <c r="A72" t="s">
        <v>154</v>
      </c>
      <c r="B72" t="s">
        <v>155</v>
      </c>
      <c r="C72" t="s">
        <v>21</v>
      </c>
      <c r="D72" t="s">
        <v>13</v>
      </c>
      <c r="E72">
        <v>2960.14</v>
      </c>
      <c r="F72" s="1">
        <v>44952</v>
      </c>
      <c r="G72" t="str">
        <f>_xlfn.XLOOKUP(B72,[1]appointments!$A$1:$A$201,[1]appointments!$B$1:$B$201, ,0)</f>
        <v>P001</v>
      </c>
      <c r="H72" t="str">
        <f>_xlfn.XLOOKUP(G72,[2]patients!$A$1:$A$51,[2]patients!$B$1:$B$51, ,0)</f>
        <v>David</v>
      </c>
      <c r="I72" t="str">
        <f>_xlfn.XLOOKUP(G72,[2]patients!$A$1:$A$51,[2]patients!$C$1:$C$51, ,0)</f>
        <v>Williams</v>
      </c>
      <c r="J72" t="str">
        <f>_xlfn.XLOOKUP(G72,[2]patients!$A$1:$A$51,[2]patients!$D$1:$D$51, ,0)</f>
        <v>F</v>
      </c>
      <c r="K72" t="str">
        <f>_xlfn.XLOOKUP(G72,[2]patients!$A$1:$A$51,[2]patients!$I$1:$I$51, ,0)</f>
        <v>WellnessCorp</v>
      </c>
      <c r="L72" t="str">
        <f>_xlfn.XLOOKUP(G72,[1]appointments!$B$1:$B$201,[1]appointments!$A$1:$A$201, ,0)</f>
        <v>A007</v>
      </c>
      <c r="M72" t="str">
        <f>_xlfn.XLOOKUP(G72,[1]appointments!$B$1:$B$201,[1]appointments!$F$1:$F$201, ,0)</f>
        <v>Consultation</v>
      </c>
      <c r="N72" t="str">
        <f>_xlfn.XLOOKUP(P72,[3]doctors!$A$1:$A$11,[3]doctors!$B$1:$B$11, ,0)</f>
        <v>Robert</v>
      </c>
      <c r="O72" t="str">
        <f>_xlfn.XLOOKUP(P72,[3]doctors!$A$1:$A$11,[3]doctors!$C$1:$C$11, ,0)</f>
        <v>Davis</v>
      </c>
      <c r="P72" t="str">
        <f>_xlfn.XLOOKUP(G72,[1]appointments!$B$1:$B$201,[1]appointments!$C$1:$C$201, ,0)</f>
        <v>D007</v>
      </c>
      <c r="Q72" t="str">
        <f>_xlfn.XLOOKUP(P72,[3]doctors!$A$1:$A$11,[3]doctors!$D$1:$D$11, ,0)</f>
        <v>Oncology</v>
      </c>
      <c r="R72" t="str">
        <f>_xlfn.XLOOKUP(G72,[1]appointments!$B$1:$B$201,[1]appointments!$G$1:$G$201, ,0)</f>
        <v>Scheduled</v>
      </c>
      <c r="S72" s="1">
        <f>_xlfn.XLOOKUP(management_table[[#This Row],[ Patient Id]],[1]appointments!$B$1:$B$201,[1]appointments!$D$1:$D$201, ,0)</f>
        <v>45025</v>
      </c>
    </row>
    <row r="73" spans="1:19" x14ac:dyDescent="0.35">
      <c r="A73" t="s">
        <v>156</v>
      </c>
      <c r="B73" t="s">
        <v>157</v>
      </c>
      <c r="C73" t="s">
        <v>21</v>
      </c>
      <c r="D73" t="s">
        <v>13</v>
      </c>
      <c r="E73">
        <v>1543.76</v>
      </c>
      <c r="F73" s="1">
        <v>45089</v>
      </c>
      <c r="G73" t="str">
        <f>_xlfn.XLOOKUP(B73,[1]appointments!$A$1:$A$201,[1]appointments!$B$1:$B$201, ,0)</f>
        <v>P033</v>
      </c>
      <c r="H73" t="str">
        <f>_xlfn.XLOOKUP(G73,[2]patients!$A$1:$A$51,[2]patients!$B$1:$B$51, ,0)</f>
        <v>Michael</v>
      </c>
      <c r="I73" t="str">
        <f>_xlfn.XLOOKUP(G73,[2]patients!$A$1:$A$51,[2]patients!$C$1:$C$51, ,0)</f>
        <v>Wilson</v>
      </c>
      <c r="J73" t="str">
        <f>_xlfn.XLOOKUP(G73,[2]patients!$A$1:$A$51,[2]patients!$D$1:$D$51, ,0)</f>
        <v>F</v>
      </c>
      <c r="K73" t="str">
        <f>_xlfn.XLOOKUP(G73,[2]patients!$A$1:$A$51,[2]patients!$I$1:$I$51, ,0)</f>
        <v>MedCare Plus</v>
      </c>
      <c r="L73" t="str">
        <f>_xlfn.XLOOKUP(G73,[1]appointments!$B$1:$B$201,[1]appointments!$A$1:$A$201, ,0)</f>
        <v>A036</v>
      </c>
      <c r="M73" t="str">
        <f>_xlfn.XLOOKUP(G73,[1]appointments!$B$1:$B$201,[1]appointments!$F$1:$F$201, ,0)</f>
        <v>Checkup</v>
      </c>
      <c r="N73" t="str">
        <f>_xlfn.XLOOKUP(P73,[3]doctors!$A$1:$A$11,[3]doctors!$B$1:$B$11, ,0)</f>
        <v>Jane</v>
      </c>
      <c r="O73" t="str">
        <f>_xlfn.XLOOKUP(P73,[3]doctors!$A$1:$A$11,[3]doctors!$C$1:$C$11, ,0)</f>
        <v>Smith</v>
      </c>
      <c r="P73" t="str">
        <f>_xlfn.XLOOKUP(G73,[1]appointments!$B$1:$B$201,[1]appointments!$C$1:$C$201, ,0)</f>
        <v>D003</v>
      </c>
      <c r="Q73" t="str">
        <f>_xlfn.XLOOKUP(P73,[3]doctors!$A$1:$A$11,[3]doctors!$D$1:$D$11, ,0)</f>
        <v>Pediatrics</v>
      </c>
      <c r="R73" t="str">
        <f>_xlfn.XLOOKUP(G73,[1]appointments!$B$1:$B$201,[1]appointments!$G$1:$G$201, ,0)</f>
        <v>No-show</v>
      </c>
      <c r="S73" s="1">
        <f>_xlfn.XLOOKUP(management_table[[#This Row],[ Patient Id]],[1]appointments!$B$1:$B$201,[1]appointments!$D$1:$D$201, ,0)</f>
        <v>44934</v>
      </c>
    </row>
    <row r="74" spans="1:19" x14ac:dyDescent="0.35">
      <c r="A74" t="s">
        <v>158</v>
      </c>
      <c r="B74" t="s">
        <v>159</v>
      </c>
      <c r="C74" t="s">
        <v>8</v>
      </c>
      <c r="D74" t="s">
        <v>16</v>
      </c>
      <c r="E74">
        <v>2259.08</v>
      </c>
      <c r="F74" s="1">
        <v>45284</v>
      </c>
      <c r="G74" t="str">
        <f>_xlfn.XLOOKUP(B74,[1]appointments!$A$1:$A$201,[1]appointments!$B$1:$B$201, ,0)</f>
        <v>P040</v>
      </c>
      <c r="H74" t="str">
        <f>_xlfn.XLOOKUP(G74,[2]patients!$A$1:$A$51,[2]patients!$B$1:$B$51, ,0)</f>
        <v>Emily</v>
      </c>
      <c r="I74" t="str">
        <f>_xlfn.XLOOKUP(G74,[2]patients!$A$1:$A$51,[2]patients!$C$1:$C$51, ,0)</f>
        <v>Williams</v>
      </c>
      <c r="J74" t="str">
        <f>_xlfn.XLOOKUP(G74,[2]patients!$A$1:$A$51,[2]patients!$D$1:$D$51, ,0)</f>
        <v>M</v>
      </c>
      <c r="K74" t="str">
        <f>_xlfn.XLOOKUP(G74,[2]patients!$A$1:$A$51,[2]patients!$I$1:$I$51, ,0)</f>
        <v>PulseSecure</v>
      </c>
      <c r="L74" t="str">
        <f>_xlfn.XLOOKUP(G74,[1]appointments!$B$1:$B$201,[1]appointments!$A$1:$A$201, ,0)</f>
        <v>A005</v>
      </c>
      <c r="M74" t="str">
        <f>_xlfn.XLOOKUP(G74,[1]appointments!$B$1:$B$201,[1]appointments!$F$1:$F$201, ,0)</f>
        <v>Emergency</v>
      </c>
      <c r="N74" t="str">
        <f>_xlfn.XLOOKUP(P74,[3]doctors!$A$1:$A$11,[3]doctors!$B$1:$B$11, ,0)</f>
        <v>Jane</v>
      </c>
      <c r="O74" t="str">
        <f>_xlfn.XLOOKUP(P74,[3]doctors!$A$1:$A$11,[3]doctors!$C$1:$C$11, ,0)</f>
        <v>Smith</v>
      </c>
      <c r="P74" t="str">
        <f>_xlfn.XLOOKUP(G74,[1]appointments!$B$1:$B$201,[1]appointments!$C$1:$C$201, ,0)</f>
        <v>D003</v>
      </c>
      <c r="Q74" t="str">
        <f>_xlfn.XLOOKUP(P74,[3]doctors!$A$1:$A$11,[3]doctors!$D$1:$D$11, ,0)</f>
        <v>Pediatrics</v>
      </c>
      <c r="R74" t="str">
        <f>_xlfn.XLOOKUP(G74,[1]appointments!$B$1:$B$201,[1]appointments!$G$1:$G$201, ,0)</f>
        <v>No-show</v>
      </c>
      <c r="S74" s="1">
        <f>_xlfn.XLOOKUP(management_table[[#This Row],[ Patient Id]],[1]appointments!$B$1:$B$201,[1]appointments!$D$1:$D$201, ,0)</f>
        <v>45113</v>
      </c>
    </row>
    <row r="75" spans="1:19" x14ac:dyDescent="0.35">
      <c r="A75" t="s">
        <v>160</v>
      </c>
      <c r="B75" t="s">
        <v>161</v>
      </c>
      <c r="C75" t="s">
        <v>21</v>
      </c>
      <c r="D75" t="s">
        <v>13</v>
      </c>
      <c r="E75">
        <v>3175.14</v>
      </c>
      <c r="F75" s="1">
        <v>45130</v>
      </c>
      <c r="G75" t="str">
        <f>_xlfn.XLOOKUP(B75,[1]appointments!$A$1:$A$201,[1]appointments!$B$1:$B$201, ,0)</f>
        <v>P010</v>
      </c>
      <c r="H75" t="str">
        <f>_xlfn.XLOOKUP(G75,[2]patients!$A$1:$A$51,[2]patients!$B$1:$B$51, ,0)</f>
        <v>Michael</v>
      </c>
      <c r="I75" t="str">
        <f>_xlfn.XLOOKUP(G75,[2]patients!$A$1:$A$51,[2]patients!$C$1:$C$51, ,0)</f>
        <v>Taylor</v>
      </c>
      <c r="J75" t="str">
        <f>_xlfn.XLOOKUP(G75,[2]patients!$A$1:$A$51,[2]patients!$D$1:$D$51, ,0)</f>
        <v>M</v>
      </c>
      <c r="K75" t="str">
        <f>_xlfn.XLOOKUP(G75,[2]patients!$A$1:$A$51,[2]patients!$I$1:$I$51, ,0)</f>
        <v>WellnessCorp</v>
      </c>
      <c r="L75" t="str">
        <f>_xlfn.XLOOKUP(G75,[1]appointments!$B$1:$B$201,[1]appointments!$A$1:$A$201, ,0)</f>
        <v>A040</v>
      </c>
      <c r="M75" t="str">
        <f>_xlfn.XLOOKUP(G75,[1]appointments!$B$1:$B$201,[1]appointments!$F$1:$F$201, ,0)</f>
        <v>Therapy</v>
      </c>
      <c r="N75" t="str">
        <f>_xlfn.XLOOKUP(P75,[3]doctors!$A$1:$A$11,[3]doctors!$B$1:$B$11, ,0)</f>
        <v>Sarah</v>
      </c>
      <c r="O75" t="str">
        <f>_xlfn.XLOOKUP(P75,[3]doctors!$A$1:$A$11,[3]doctors!$C$1:$C$11, ,0)</f>
        <v>Smith</v>
      </c>
      <c r="P75" t="str">
        <f>_xlfn.XLOOKUP(G75,[1]appointments!$B$1:$B$201,[1]appointments!$C$1:$C$201, ,0)</f>
        <v>D009</v>
      </c>
      <c r="Q75" t="str">
        <f>_xlfn.XLOOKUP(P75,[3]doctors!$A$1:$A$11,[3]doctors!$D$1:$D$11, ,0)</f>
        <v>Pediatrics</v>
      </c>
      <c r="R75" t="str">
        <f>_xlfn.XLOOKUP(G75,[1]appointments!$B$1:$B$201,[1]appointments!$G$1:$G$201, ,0)</f>
        <v>Completed</v>
      </c>
      <c r="S75" s="1">
        <f>_xlfn.XLOOKUP(management_table[[#This Row],[ Patient Id]],[1]appointments!$B$1:$B$201,[1]appointments!$D$1:$D$201, ,0)</f>
        <v>45012</v>
      </c>
    </row>
    <row r="76" spans="1:19" x14ac:dyDescent="0.35">
      <c r="A76" t="s">
        <v>162</v>
      </c>
      <c r="B76" t="s">
        <v>163</v>
      </c>
      <c r="C76" t="s">
        <v>8</v>
      </c>
      <c r="D76" t="s">
        <v>16</v>
      </c>
      <c r="E76">
        <v>2735.45</v>
      </c>
      <c r="F76" s="1">
        <v>45054</v>
      </c>
      <c r="G76" t="str">
        <f>_xlfn.XLOOKUP(B76,[1]appointments!$A$1:$A$201,[1]appointments!$B$1:$B$201, ,0)</f>
        <v>P043</v>
      </c>
      <c r="H76" t="str">
        <f>_xlfn.XLOOKUP(G76,[2]patients!$A$1:$A$51,[2]patients!$B$1:$B$51, ,0)</f>
        <v>Linda</v>
      </c>
      <c r="I76" t="str">
        <f>_xlfn.XLOOKUP(G76,[2]patients!$A$1:$A$51,[2]patients!$C$1:$C$51, ,0)</f>
        <v>Brown</v>
      </c>
      <c r="J76" t="str">
        <f>_xlfn.XLOOKUP(G76,[2]patients!$A$1:$A$51,[2]patients!$D$1:$D$51, ,0)</f>
        <v>M</v>
      </c>
      <c r="K76" t="str">
        <f>_xlfn.XLOOKUP(G76,[2]patients!$A$1:$A$51,[2]patients!$I$1:$I$51, ,0)</f>
        <v>WellnessCorp</v>
      </c>
      <c r="L76" t="str">
        <f>_xlfn.XLOOKUP(G76,[1]appointments!$B$1:$B$201,[1]appointments!$A$1:$A$201, ,0)</f>
        <v>A067</v>
      </c>
      <c r="M76" t="str">
        <f>_xlfn.XLOOKUP(G76,[1]appointments!$B$1:$B$201,[1]appointments!$F$1:$F$201, ,0)</f>
        <v>Follow-up</v>
      </c>
      <c r="N76" t="str">
        <f>_xlfn.XLOOKUP(P76,[3]doctors!$A$1:$A$11,[3]doctors!$B$1:$B$11, ,0)</f>
        <v>David</v>
      </c>
      <c r="O76" t="str">
        <f>_xlfn.XLOOKUP(P76,[3]doctors!$A$1:$A$11,[3]doctors!$C$1:$C$11, ,0)</f>
        <v>Taylor</v>
      </c>
      <c r="P76" t="str">
        <f>_xlfn.XLOOKUP(G76,[1]appointments!$B$1:$B$201,[1]appointments!$C$1:$C$201, ,0)</f>
        <v>D001</v>
      </c>
      <c r="Q76" t="str">
        <f>_xlfn.XLOOKUP(P76,[3]doctors!$A$1:$A$11,[3]doctors!$D$1:$D$11, ,0)</f>
        <v>Dermatology</v>
      </c>
      <c r="R76" t="str">
        <f>_xlfn.XLOOKUP(G76,[1]appointments!$B$1:$B$201,[1]appointments!$G$1:$G$201, ,0)</f>
        <v>Scheduled</v>
      </c>
      <c r="S76" s="1">
        <f>_xlfn.XLOOKUP(management_table[[#This Row],[ Patient Id]],[1]appointments!$B$1:$B$201,[1]appointments!$D$1:$D$201, ,0)</f>
        <v>45148</v>
      </c>
    </row>
    <row r="77" spans="1:19" x14ac:dyDescent="0.35">
      <c r="A77" t="s">
        <v>164</v>
      </c>
      <c r="B77" t="s">
        <v>165</v>
      </c>
      <c r="C77" t="s">
        <v>8</v>
      </c>
      <c r="D77" t="s">
        <v>16</v>
      </c>
      <c r="E77">
        <v>4945.03</v>
      </c>
      <c r="F77" s="1">
        <v>45257</v>
      </c>
      <c r="G77" t="str">
        <f>_xlfn.XLOOKUP(B77,[1]appointments!$A$1:$A$201,[1]appointments!$B$1:$B$201, ,0)</f>
        <v>P044</v>
      </c>
      <c r="H77" t="str">
        <f>_xlfn.XLOOKUP(G77,[2]patients!$A$1:$A$51,[2]patients!$B$1:$B$51, ,0)</f>
        <v>Robert</v>
      </c>
      <c r="I77" t="str">
        <f>_xlfn.XLOOKUP(G77,[2]patients!$A$1:$A$51,[2]patients!$C$1:$C$51, ,0)</f>
        <v>Taylor</v>
      </c>
      <c r="J77" t="str">
        <f>_xlfn.XLOOKUP(G77,[2]patients!$A$1:$A$51,[2]patients!$D$1:$D$51, ,0)</f>
        <v>F</v>
      </c>
      <c r="K77" t="str">
        <f>_xlfn.XLOOKUP(G77,[2]patients!$A$1:$A$51,[2]patients!$I$1:$I$51, ,0)</f>
        <v>PulseSecure</v>
      </c>
      <c r="L77" t="str">
        <f>_xlfn.XLOOKUP(G77,[1]appointments!$B$1:$B$201,[1]appointments!$A$1:$A$201, ,0)</f>
        <v>A076</v>
      </c>
      <c r="M77" t="str">
        <f>_xlfn.XLOOKUP(G77,[1]appointments!$B$1:$B$201,[1]appointments!$F$1:$F$201, ,0)</f>
        <v>Therapy</v>
      </c>
      <c r="N77" t="str">
        <f>_xlfn.XLOOKUP(P77,[3]doctors!$A$1:$A$11,[3]doctors!$B$1:$B$11, ,0)</f>
        <v>Jane</v>
      </c>
      <c r="O77" t="str">
        <f>_xlfn.XLOOKUP(P77,[3]doctors!$A$1:$A$11,[3]doctors!$C$1:$C$11, ,0)</f>
        <v>Davis</v>
      </c>
      <c r="P77" t="str">
        <f>_xlfn.XLOOKUP(G77,[1]appointments!$B$1:$B$201,[1]appointments!$C$1:$C$201, ,0)</f>
        <v>D002</v>
      </c>
      <c r="Q77" t="str">
        <f>_xlfn.XLOOKUP(P77,[3]doctors!$A$1:$A$11,[3]doctors!$D$1:$D$11, ,0)</f>
        <v>Pediatrics</v>
      </c>
      <c r="R77" t="str">
        <f>_xlfn.XLOOKUP(G77,[1]appointments!$B$1:$B$201,[1]appointments!$G$1:$G$201, ,0)</f>
        <v>Cancelled</v>
      </c>
      <c r="S77" s="1">
        <f>_xlfn.XLOOKUP(management_table[[#This Row],[ Patient Id]],[1]appointments!$B$1:$B$201,[1]appointments!$D$1:$D$201, ,0)</f>
        <v>45257</v>
      </c>
    </row>
    <row r="78" spans="1:19" x14ac:dyDescent="0.35">
      <c r="A78" t="s">
        <v>166</v>
      </c>
      <c r="B78" t="s">
        <v>167</v>
      </c>
      <c r="C78" t="s">
        <v>21</v>
      </c>
      <c r="D78" t="s">
        <v>9</v>
      </c>
      <c r="E78">
        <v>1113.98</v>
      </c>
      <c r="F78" s="1">
        <v>45274</v>
      </c>
      <c r="G78" t="str">
        <f>_xlfn.XLOOKUP(B78,[1]appointments!$A$1:$A$201,[1]appointments!$B$1:$B$201, ,0)</f>
        <v>P029</v>
      </c>
      <c r="H78" t="str">
        <f>_xlfn.XLOOKUP(G78,[2]patients!$A$1:$A$51,[2]patients!$B$1:$B$51, ,0)</f>
        <v>David</v>
      </c>
      <c r="I78" t="str">
        <f>_xlfn.XLOOKUP(G78,[2]patients!$A$1:$A$51,[2]patients!$C$1:$C$51, ,0)</f>
        <v>Smith</v>
      </c>
      <c r="J78" t="str">
        <f>_xlfn.XLOOKUP(G78,[2]patients!$A$1:$A$51,[2]patients!$D$1:$D$51, ,0)</f>
        <v>M</v>
      </c>
      <c r="K78" t="str">
        <f>_xlfn.XLOOKUP(G78,[2]patients!$A$1:$A$51,[2]patients!$I$1:$I$51, ,0)</f>
        <v>HealthIndia</v>
      </c>
      <c r="L78" t="str">
        <f>_xlfn.XLOOKUP(G78,[1]appointments!$B$1:$B$201,[1]appointments!$A$1:$A$201, ,0)</f>
        <v>A012</v>
      </c>
      <c r="M78" t="str">
        <f>_xlfn.XLOOKUP(G78,[1]appointments!$B$1:$B$201,[1]appointments!$F$1:$F$201, ,0)</f>
        <v>Follow-up</v>
      </c>
      <c r="N78" t="str">
        <f>_xlfn.XLOOKUP(P78,[3]doctors!$A$1:$A$11,[3]doctors!$B$1:$B$11, ,0)</f>
        <v>Jane</v>
      </c>
      <c r="O78" t="str">
        <f>_xlfn.XLOOKUP(P78,[3]doctors!$A$1:$A$11,[3]doctors!$C$1:$C$11, ,0)</f>
        <v>Smith</v>
      </c>
      <c r="P78" t="str">
        <f>_xlfn.XLOOKUP(G78,[1]appointments!$B$1:$B$201,[1]appointments!$C$1:$C$201, ,0)</f>
        <v>D003</v>
      </c>
      <c r="Q78" t="str">
        <f>_xlfn.XLOOKUP(P78,[3]doctors!$A$1:$A$11,[3]doctors!$D$1:$D$11, ,0)</f>
        <v>Pediatrics</v>
      </c>
      <c r="R78" t="str">
        <f>_xlfn.XLOOKUP(G78,[1]appointments!$B$1:$B$201,[1]appointments!$G$1:$G$201, ,0)</f>
        <v>Completed</v>
      </c>
      <c r="S78" s="1">
        <f>_xlfn.XLOOKUP(management_table[[#This Row],[ Patient Id]],[1]appointments!$B$1:$B$201,[1]appointments!$D$1:$D$201, ,0)</f>
        <v>45053</v>
      </c>
    </row>
    <row r="79" spans="1:19" x14ac:dyDescent="0.35">
      <c r="A79" t="s">
        <v>168</v>
      </c>
      <c r="B79" t="s">
        <v>169</v>
      </c>
      <c r="C79" t="s">
        <v>51</v>
      </c>
      <c r="D79" t="s">
        <v>9</v>
      </c>
      <c r="E79">
        <v>3628.15</v>
      </c>
      <c r="F79" s="1">
        <v>45186</v>
      </c>
      <c r="G79" t="str">
        <f>_xlfn.XLOOKUP(B79,[1]appointments!$A$1:$A$201,[1]appointments!$B$1:$B$201, ,0)</f>
        <v>P013</v>
      </c>
      <c r="H79" t="str">
        <f>_xlfn.XLOOKUP(G79,[2]patients!$A$1:$A$51,[2]patients!$B$1:$B$51, ,0)</f>
        <v>Laura</v>
      </c>
      <c r="I79" t="str">
        <f>_xlfn.XLOOKUP(G79,[2]patients!$A$1:$A$51,[2]patients!$C$1:$C$51, ,0)</f>
        <v>Johnson</v>
      </c>
      <c r="J79" t="str">
        <f>_xlfn.XLOOKUP(G79,[2]patients!$A$1:$A$51,[2]patients!$D$1:$D$51, ,0)</f>
        <v>F</v>
      </c>
      <c r="K79" t="str">
        <f>_xlfn.XLOOKUP(G79,[2]patients!$A$1:$A$51,[2]patients!$I$1:$I$51, ,0)</f>
        <v>WellnessCorp</v>
      </c>
      <c r="L79" t="str">
        <f>_xlfn.XLOOKUP(G79,[1]appointments!$B$1:$B$201,[1]appointments!$A$1:$A$201, ,0)</f>
        <v>A078</v>
      </c>
      <c r="M79" t="str">
        <f>_xlfn.XLOOKUP(G79,[1]appointments!$B$1:$B$201,[1]appointments!$F$1:$F$201, ,0)</f>
        <v>Consultation</v>
      </c>
      <c r="N79" t="str">
        <f>_xlfn.XLOOKUP(P79,[3]doctors!$A$1:$A$11,[3]doctors!$B$1:$B$11, ,0)</f>
        <v>Linda</v>
      </c>
      <c r="O79" t="str">
        <f>_xlfn.XLOOKUP(P79,[3]doctors!$A$1:$A$11,[3]doctors!$C$1:$C$11, ,0)</f>
        <v>Brown</v>
      </c>
      <c r="P79" t="str">
        <f>_xlfn.XLOOKUP(G79,[1]appointments!$B$1:$B$201,[1]appointments!$C$1:$C$201, ,0)</f>
        <v>D008</v>
      </c>
      <c r="Q79" t="str">
        <f>_xlfn.XLOOKUP(P79,[3]doctors!$A$1:$A$11,[3]doctors!$D$1:$D$11, ,0)</f>
        <v>Dermatology</v>
      </c>
      <c r="R79" t="str">
        <f>_xlfn.XLOOKUP(G79,[1]appointments!$B$1:$B$201,[1]appointments!$G$1:$G$201, ,0)</f>
        <v>No-show</v>
      </c>
      <c r="S79" s="1">
        <f>_xlfn.XLOOKUP(management_table[[#This Row],[ Patient Id]],[1]appointments!$B$1:$B$201,[1]appointments!$D$1:$D$201, ,0)</f>
        <v>45186</v>
      </c>
    </row>
    <row r="80" spans="1:19" x14ac:dyDescent="0.35">
      <c r="A80" t="s">
        <v>170</v>
      </c>
      <c r="B80" t="s">
        <v>171</v>
      </c>
      <c r="C80" t="s">
        <v>51</v>
      </c>
      <c r="D80" t="s">
        <v>9</v>
      </c>
      <c r="E80">
        <v>2319.4299999999998</v>
      </c>
      <c r="F80" s="1">
        <v>45286</v>
      </c>
      <c r="G80" t="str">
        <f>_xlfn.XLOOKUP(B80,[1]appointments!$A$1:$A$201,[1]appointments!$B$1:$B$201, ,0)</f>
        <v>P012</v>
      </c>
      <c r="H80" t="str">
        <f>_xlfn.XLOOKUP(G80,[2]patients!$A$1:$A$51,[2]patients!$B$1:$B$51, ,0)</f>
        <v>Laura</v>
      </c>
      <c r="I80" t="str">
        <f>_xlfn.XLOOKUP(G80,[2]patients!$A$1:$A$51,[2]patients!$C$1:$C$51, ,0)</f>
        <v>Davis</v>
      </c>
      <c r="J80" t="str">
        <f>_xlfn.XLOOKUP(G80,[2]patients!$A$1:$A$51,[2]patients!$D$1:$D$51, ,0)</f>
        <v>F</v>
      </c>
      <c r="K80" t="str">
        <f>_xlfn.XLOOKUP(G80,[2]patients!$A$1:$A$51,[2]patients!$I$1:$I$51, ,0)</f>
        <v>MedCare Plus</v>
      </c>
      <c r="L80" t="str">
        <f>_xlfn.XLOOKUP(G80,[1]appointments!$B$1:$B$201,[1]appointments!$A$1:$A$201, ,0)</f>
        <v>A014</v>
      </c>
      <c r="M80" t="str">
        <f>_xlfn.XLOOKUP(G80,[1]appointments!$B$1:$B$201,[1]appointments!$F$1:$F$201, ,0)</f>
        <v>Emergency</v>
      </c>
      <c r="N80" t="str">
        <f>_xlfn.XLOOKUP(P80,[3]doctors!$A$1:$A$11,[3]doctors!$B$1:$B$11, ,0)</f>
        <v>Linda</v>
      </c>
      <c r="O80" t="str">
        <f>_xlfn.XLOOKUP(P80,[3]doctors!$A$1:$A$11,[3]doctors!$C$1:$C$11, ,0)</f>
        <v>Wilson</v>
      </c>
      <c r="P80" t="str">
        <f>_xlfn.XLOOKUP(G80,[1]appointments!$B$1:$B$201,[1]appointments!$C$1:$C$201, ,0)</f>
        <v>D010</v>
      </c>
      <c r="Q80" t="str">
        <f>_xlfn.XLOOKUP(P80,[3]doctors!$A$1:$A$11,[3]doctors!$D$1:$D$11, ,0)</f>
        <v>Oncology</v>
      </c>
      <c r="R80" t="str">
        <f>_xlfn.XLOOKUP(G80,[1]appointments!$B$1:$B$201,[1]appointments!$G$1:$G$201, ,0)</f>
        <v>Cancelled</v>
      </c>
      <c r="S80" s="1">
        <f>_xlfn.XLOOKUP(management_table[[#This Row],[ Patient Id]],[1]appointments!$B$1:$B$201,[1]appointments!$D$1:$D$201, ,0)</f>
        <v>45071</v>
      </c>
    </row>
    <row r="81" spans="1:19" x14ac:dyDescent="0.35">
      <c r="A81" t="s">
        <v>172</v>
      </c>
      <c r="B81" t="s">
        <v>173</v>
      </c>
      <c r="C81" t="s">
        <v>8</v>
      </c>
      <c r="D81" t="s">
        <v>9</v>
      </c>
      <c r="E81">
        <v>2426.9</v>
      </c>
      <c r="F81" s="1">
        <v>45103</v>
      </c>
      <c r="G81" t="str">
        <f>_xlfn.XLOOKUP(B81,[1]appointments!$A$1:$A$201,[1]appointments!$B$1:$B$201, ,0)</f>
        <v>P031</v>
      </c>
      <c r="H81" t="str">
        <f>_xlfn.XLOOKUP(G81,[2]patients!$A$1:$A$51,[2]patients!$B$1:$B$51, ,0)</f>
        <v>Robert</v>
      </c>
      <c r="I81" t="str">
        <f>_xlfn.XLOOKUP(G81,[2]patients!$A$1:$A$51,[2]patients!$C$1:$C$51, ,0)</f>
        <v>Miller</v>
      </c>
      <c r="J81" t="str">
        <f>_xlfn.XLOOKUP(G81,[2]patients!$A$1:$A$51,[2]patients!$D$1:$D$51, ,0)</f>
        <v>M</v>
      </c>
      <c r="K81" t="str">
        <f>_xlfn.XLOOKUP(G81,[2]patients!$A$1:$A$51,[2]patients!$I$1:$I$51, ,0)</f>
        <v>WellnessCorp</v>
      </c>
      <c r="L81" t="str">
        <f>_xlfn.XLOOKUP(G81,[1]appointments!$B$1:$B$201,[1]appointments!$A$1:$A$201, ,0)</f>
        <v>A044</v>
      </c>
      <c r="M81" t="str">
        <f>_xlfn.XLOOKUP(G81,[1]appointments!$B$1:$B$201,[1]appointments!$F$1:$F$201, ,0)</f>
        <v>Follow-up</v>
      </c>
      <c r="N81" t="str">
        <f>_xlfn.XLOOKUP(P81,[3]doctors!$A$1:$A$11,[3]doctors!$B$1:$B$11, ,0)</f>
        <v>Alex</v>
      </c>
      <c r="O81" t="str">
        <f>_xlfn.XLOOKUP(P81,[3]doctors!$A$1:$A$11,[3]doctors!$C$1:$C$11, ,0)</f>
        <v>Davis</v>
      </c>
      <c r="P81" t="str">
        <f>_xlfn.XLOOKUP(G81,[1]appointments!$B$1:$B$201,[1]appointments!$C$1:$C$201, ,0)</f>
        <v>D006</v>
      </c>
      <c r="Q81" t="str">
        <f>_xlfn.XLOOKUP(P81,[3]doctors!$A$1:$A$11,[3]doctors!$D$1:$D$11, ,0)</f>
        <v>Pediatrics</v>
      </c>
      <c r="R81" t="str">
        <f>_xlfn.XLOOKUP(G81,[1]appointments!$B$1:$B$201,[1]appointments!$G$1:$G$201, ,0)</f>
        <v>Completed</v>
      </c>
      <c r="S81" s="1">
        <f>_xlfn.XLOOKUP(management_table[[#This Row],[ Patient Id]],[1]appointments!$B$1:$B$201,[1]appointments!$D$1:$D$201, ,0)</f>
        <v>45189</v>
      </c>
    </row>
    <row r="82" spans="1:19" x14ac:dyDescent="0.35">
      <c r="A82" t="s">
        <v>174</v>
      </c>
      <c r="B82" t="s">
        <v>175</v>
      </c>
      <c r="C82" t="s">
        <v>21</v>
      </c>
      <c r="D82" t="s">
        <v>13</v>
      </c>
      <c r="E82">
        <v>3729.19</v>
      </c>
      <c r="F82" s="1">
        <v>44932</v>
      </c>
      <c r="G82" t="str">
        <f>_xlfn.XLOOKUP(B82,[1]appointments!$A$1:$A$201,[1]appointments!$B$1:$B$201, ,0)</f>
        <v>P046</v>
      </c>
      <c r="H82" t="str">
        <f>_xlfn.XLOOKUP(G82,[2]patients!$A$1:$A$51,[2]patients!$B$1:$B$51, ,0)</f>
        <v>Michael</v>
      </c>
      <c r="I82" t="str">
        <f>_xlfn.XLOOKUP(G82,[2]patients!$A$1:$A$51,[2]patients!$C$1:$C$51, ,0)</f>
        <v>Taylor</v>
      </c>
      <c r="J82" t="str">
        <f>_xlfn.XLOOKUP(G82,[2]patients!$A$1:$A$51,[2]patients!$D$1:$D$51, ,0)</f>
        <v>F</v>
      </c>
      <c r="K82" t="str">
        <f>_xlfn.XLOOKUP(G82,[2]patients!$A$1:$A$51,[2]patients!$I$1:$I$51, ,0)</f>
        <v>MedCare Plus</v>
      </c>
      <c r="L82" t="str">
        <f>_xlfn.XLOOKUP(G82,[1]appointments!$B$1:$B$201,[1]appointments!$A$1:$A$201, ,0)</f>
        <v>A026</v>
      </c>
      <c r="M82" t="str">
        <f>_xlfn.XLOOKUP(G82,[1]appointments!$B$1:$B$201,[1]appointments!$F$1:$F$201, ,0)</f>
        <v>Follow-up</v>
      </c>
      <c r="N82" t="str">
        <f>_xlfn.XLOOKUP(P82,[3]doctors!$A$1:$A$11,[3]doctors!$B$1:$B$11, ,0)</f>
        <v>Alex</v>
      </c>
      <c r="O82" t="str">
        <f>_xlfn.XLOOKUP(P82,[3]doctors!$A$1:$A$11,[3]doctors!$C$1:$C$11, ,0)</f>
        <v>Davis</v>
      </c>
      <c r="P82" t="str">
        <f>_xlfn.XLOOKUP(G82,[1]appointments!$B$1:$B$201,[1]appointments!$C$1:$C$201, ,0)</f>
        <v>D006</v>
      </c>
      <c r="Q82" t="str">
        <f>_xlfn.XLOOKUP(P82,[3]doctors!$A$1:$A$11,[3]doctors!$D$1:$D$11, ,0)</f>
        <v>Pediatrics</v>
      </c>
      <c r="R82" t="str">
        <f>_xlfn.XLOOKUP(G82,[1]appointments!$B$1:$B$201,[1]appointments!$G$1:$G$201, ,0)</f>
        <v>Cancelled</v>
      </c>
      <c r="S82" s="1">
        <f>_xlfn.XLOOKUP(management_table[[#This Row],[ Patient Id]],[1]appointments!$B$1:$B$201,[1]appointments!$D$1:$D$201, ,0)</f>
        <v>45002</v>
      </c>
    </row>
    <row r="83" spans="1:19" x14ac:dyDescent="0.35">
      <c r="A83" t="s">
        <v>176</v>
      </c>
      <c r="B83" t="s">
        <v>177</v>
      </c>
      <c r="C83" t="s">
        <v>51</v>
      </c>
      <c r="D83" t="s">
        <v>9</v>
      </c>
      <c r="E83">
        <v>3615.96</v>
      </c>
      <c r="F83" s="1">
        <v>44946</v>
      </c>
      <c r="G83" t="str">
        <f>_xlfn.XLOOKUP(B83,[1]appointments!$A$1:$A$201,[1]appointments!$B$1:$B$201, ,0)</f>
        <v>P002</v>
      </c>
      <c r="H83" t="str">
        <f>_xlfn.XLOOKUP(G83,[2]patients!$A$1:$A$51,[2]patients!$B$1:$B$51, ,0)</f>
        <v>Emily</v>
      </c>
      <c r="I83" t="str">
        <f>_xlfn.XLOOKUP(G83,[2]patients!$A$1:$A$51,[2]patients!$C$1:$C$51, ,0)</f>
        <v>Smith</v>
      </c>
      <c r="J83" t="str">
        <f>_xlfn.XLOOKUP(G83,[2]patients!$A$1:$A$51,[2]patients!$D$1:$D$51, ,0)</f>
        <v>F</v>
      </c>
      <c r="K83" t="str">
        <f>_xlfn.XLOOKUP(G83,[2]patients!$A$1:$A$51,[2]patients!$I$1:$I$51, ,0)</f>
        <v>PulseSecure</v>
      </c>
      <c r="L83" t="str">
        <f>_xlfn.XLOOKUP(G83,[1]appointments!$B$1:$B$201,[1]appointments!$A$1:$A$201, ,0)</f>
        <v>A055</v>
      </c>
      <c r="M83" t="str">
        <f>_xlfn.XLOOKUP(G83,[1]appointments!$B$1:$B$201,[1]appointments!$F$1:$F$201, ,0)</f>
        <v>Checkup</v>
      </c>
      <c r="N83" t="str">
        <f>_xlfn.XLOOKUP(P83,[3]doctors!$A$1:$A$11,[3]doctors!$B$1:$B$11, ,0)</f>
        <v>Linda</v>
      </c>
      <c r="O83" t="str">
        <f>_xlfn.XLOOKUP(P83,[3]doctors!$A$1:$A$11,[3]doctors!$C$1:$C$11, ,0)</f>
        <v>Wilson</v>
      </c>
      <c r="P83" t="str">
        <f>_xlfn.XLOOKUP(G83,[1]appointments!$B$1:$B$201,[1]appointments!$C$1:$C$201, ,0)</f>
        <v>D010</v>
      </c>
      <c r="Q83" t="str">
        <f>_xlfn.XLOOKUP(P83,[3]doctors!$A$1:$A$11,[3]doctors!$D$1:$D$11, ,0)</f>
        <v>Oncology</v>
      </c>
      <c r="R83" t="str">
        <f>_xlfn.XLOOKUP(G83,[1]appointments!$B$1:$B$201,[1]appointments!$G$1:$G$201, ,0)</f>
        <v>Scheduled</v>
      </c>
      <c r="S83" s="1">
        <f>_xlfn.XLOOKUP(management_table[[#This Row],[ Patient Id]],[1]appointments!$B$1:$B$201,[1]appointments!$D$1:$D$201, ,0)</f>
        <v>45205</v>
      </c>
    </row>
    <row r="84" spans="1:19" x14ac:dyDescent="0.35">
      <c r="A84" t="s">
        <v>178</v>
      </c>
      <c r="B84" t="s">
        <v>179</v>
      </c>
      <c r="C84" t="s">
        <v>21</v>
      </c>
      <c r="D84" t="s">
        <v>13</v>
      </c>
      <c r="E84">
        <v>4960.6499999999996</v>
      </c>
      <c r="F84" s="1">
        <v>45237</v>
      </c>
      <c r="G84" t="str">
        <f>_xlfn.XLOOKUP(B84,[1]appointments!$A$1:$A$201,[1]appointments!$B$1:$B$201, ,0)</f>
        <v>P050</v>
      </c>
      <c r="H84" t="str">
        <f>_xlfn.XLOOKUP(G84,[2]patients!$A$1:$A$51,[2]patients!$B$1:$B$51, ,0)</f>
        <v>Laura</v>
      </c>
      <c r="I84" t="str">
        <f>_xlfn.XLOOKUP(G84,[2]patients!$A$1:$A$51,[2]patients!$C$1:$C$51, ,0)</f>
        <v>Wilson</v>
      </c>
      <c r="J84" t="str">
        <f>_xlfn.XLOOKUP(G84,[2]patients!$A$1:$A$51,[2]patients!$D$1:$D$51, ,0)</f>
        <v>M</v>
      </c>
      <c r="K84" t="str">
        <f>_xlfn.XLOOKUP(G84,[2]patients!$A$1:$A$51,[2]patients!$I$1:$I$51, ,0)</f>
        <v>WellnessCorp</v>
      </c>
      <c r="L84" t="str">
        <f>_xlfn.XLOOKUP(G84,[1]appointments!$B$1:$B$201,[1]appointments!$A$1:$A$201, ,0)</f>
        <v>A063</v>
      </c>
      <c r="M84" t="str">
        <f>_xlfn.XLOOKUP(G84,[1]appointments!$B$1:$B$201,[1]appointments!$F$1:$F$201, ,0)</f>
        <v>Follow-up</v>
      </c>
      <c r="N84" t="str">
        <f>_xlfn.XLOOKUP(P84,[3]doctors!$A$1:$A$11,[3]doctors!$B$1:$B$11, ,0)</f>
        <v>David</v>
      </c>
      <c r="O84" t="str">
        <f>_xlfn.XLOOKUP(P84,[3]doctors!$A$1:$A$11,[3]doctors!$C$1:$C$11, ,0)</f>
        <v>Jones</v>
      </c>
      <c r="P84" t="str">
        <f>_xlfn.XLOOKUP(G84,[1]appointments!$B$1:$B$201,[1]appointments!$C$1:$C$201, ,0)</f>
        <v>D004</v>
      </c>
      <c r="Q84" t="str">
        <f>_xlfn.XLOOKUP(P84,[3]doctors!$A$1:$A$11,[3]doctors!$D$1:$D$11, ,0)</f>
        <v>Pediatrics</v>
      </c>
      <c r="R84" t="str">
        <f>_xlfn.XLOOKUP(G84,[1]appointments!$B$1:$B$201,[1]appointments!$G$1:$G$201, ,0)</f>
        <v>Scheduled</v>
      </c>
      <c r="S84" s="1">
        <f>_xlfn.XLOOKUP(management_table[[#This Row],[ Patient Id]],[1]appointments!$B$1:$B$201,[1]appointments!$D$1:$D$201, ,0)</f>
        <v>45106</v>
      </c>
    </row>
    <row r="85" spans="1:19" x14ac:dyDescent="0.35">
      <c r="A85" t="s">
        <v>180</v>
      </c>
      <c r="B85" t="s">
        <v>181</v>
      </c>
      <c r="C85" t="s">
        <v>21</v>
      </c>
      <c r="D85" t="s">
        <v>9</v>
      </c>
      <c r="E85">
        <v>1077.77</v>
      </c>
      <c r="F85" s="1">
        <v>45077</v>
      </c>
      <c r="G85" t="str">
        <f>_xlfn.XLOOKUP(B85,[1]appointments!$A$1:$A$201,[1]appointments!$B$1:$B$201, ,0)</f>
        <v>P035</v>
      </c>
      <c r="H85" t="str">
        <f>_xlfn.XLOOKUP(G85,[2]patients!$A$1:$A$51,[2]patients!$B$1:$B$51, ,0)</f>
        <v>David</v>
      </c>
      <c r="I85" t="str">
        <f>_xlfn.XLOOKUP(G85,[2]patients!$A$1:$A$51,[2]patients!$C$1:$C$51, ,0)</f>
        <v>Wilson</v>
      </c>
      <c r="J85" t="str">
        <f>_xlfn.XLOOKUP(G85,[2]patients!$A$1:$A$51,[2]patients!$D$1:$D$51, ,0)</f>
        <v>F</v>
      </c>
      <c r="K85" t="str">
        <f>_xlfn.XLOOKUP(G85,[2]patients!$A$1:$A$51,[2]patients!$I$1:$I$51, ,0)</f>
        <v>MedCare Plus</v>
      </c>
      <c r="L85" t="str">
        <f>_xlfn.XLOOKUP(G85,[1]appointments!$B$1:$B$201,[1]appointments!$A$1:$A$201, ,0)</f>
        <v>A064</v>
      </c>
      <c r="M85" t="str">
        <f>_xlfn.XLOOKUP(G85,[1]appointments!$B$1:$B$201,[1]appointments!$F$1:$F$201, ,0)</f>
        <v>Checkup</v>
      </c>
      <c r="N85" t="str">
        <f>_xlfn.XLOOKUP(P85,[3]doctors!$A$1:$A$11,[3]doctors!$B$1:$B$11, ,0)</f>
        <v>Alex</v>
      </c>
      <c r="O85" t="str">
        <f>_xlfn.XLOOKUP(P85,[3]doctors!$A$1:$A$11,[3]doctors!$C$1:$C$11, ,0)</f>
        <v>Davis</v>
      </c>
      <c r="P85" t="str">
        <f>_xlfn.XLOOKUP(G85,[1]appointments!$B$1:$B$201,[1]appointments!$C$1:$C$201, ,0)</f>
        <v>D006</v>
      </c>
      <c r="Q85" t="str">
        <f>_xlfn.XLOOKUP(P85,[3]doctors!$A$1:$A$11,[3]doctors!$D$1:$D$11, ,0)</f>
        <v>Pediatrics</v>
      </c>
      <c r="R85" t="str">
        <f>_xlfn.XLOOKUP(G85,[1]appointments!$B$1:$B$201,[1]appointments!$G$1:$G$201, ,0)</f>
        <v>Cancelled</v>
      </c>
      <c r="S85" s="1">
        <f>_xlfn.XLOOKUP(management_table[[#This Row],[ Patient Id]],[1]appointments!$B$1:$B$201,[1]appointments!$D$1:$D$201, ,0)</f>
        <v>45077</v>
      </c>
    </row>
    <row r="86" spans="1:19" x14ac:dyDescent="0.35">
      <c r="A86" t="s">
        <v>182</v>
      </c>
      <c r="B86" t="s">
        <v>183</v>
      </c>
      <c r="C86" t="s">
        <v>21</v>
      </c>
      <c r="D86" t="s">
        <v>13</v>
      </c>
      <c r="E86">
        <v>968.49</v>
      </c>
      <c r="F86" s="1">
        <v>44975</v>
      </c>
      <c r="G86" t="str">
        <f>_xlfn.XLOOKUP(B86,[1]appointments!$A$1:$A$201,[1]appointments!$B$1:$B$201, ,0)</f>
        <v>P023</v>
      </c>
      <c r="H86" t="str">
        <f>_xlfn.XLOOKUP(G86,[2]patients!$A$1:$A$51,[2]patients!$B$1:$B$51, ,0)</f>
        <v>Linda</v>
      </c>
      <c r="I86" t="str">
        <f>_xlfn.XLOOKUP(G86,[2]patients!$A$1:$A$51,[2]patients!$C$1:$C$51, ,0)</f>
        <v>Johnson</v>
      </c>
      <c r="J86" t="str">
        <f>_xlfn.XLOOKUP(G86,[2]patients!$A$1:$A$51,[2]patients!$D$1:$D$51, ,0)</f>
        <v>M</v>
      </c>
      <c r="K86" t="str">
        <f>_xlfn.XLOOKUP(G86,[2]patients!$A$1:$A$51,[2]patients!$I$1:$I$51, ,0)</f>
        <v>WellnessCorp</v>
      </c>
      <c r="L86" t="str">
        <f>_xlfn.XLOOKUP(G86,[1]appointments!$B$1:$B$201,[1]appointments!$A$1:$A$201, ,0)</f>
        <v>A039</v>
      </c>
      <c r="M86" t="str">
        <f>_xlfn.XLOOKUP(G86,[1]appointments!$B$1:$B$201,[1]appointments!$F$1:$F$201, ,0)</f>
        <v>Follow-up</v>
      </c>
      <c r="N86" t="str">
        <f>_xlfn.XLOOKUP(P86,[3]doctors!$A$1:$A$11,[3]doctors!$B$1:$B$11, ,0)</f>
        <v>Jane</v>
      </c>
      <c r="O86" t="str">
        <f>_xlfn.XLOOKUP(P86,[3]doctors!$A$1:$A$11,[3]doctors!$C$1:$C$11, ,0)</f>
        <v>Davis</v>
      </c>
      <c r="P86" t="str">
        <f>_xlfn.XLOOKUP(G86,[1]appointments!$B$1:$B$201,[1]appointments!$C$1:$C$201, ,0)</f>
        <v>D002</v>
      </c>
      <c r="Q86" t="str">
        <f>_xlfn.XLOOKUP(P86,[3]doctors!$A$1:$A$11,[3]doctors!$D$1:$D$11, ,0)</f>
        <v>Pediatrics</v>
      </c>
      <c r="R86" t="str">
        <f>_xlfn.XLOOKUP(G86,[1]appointments!$B$1:$B$201,[1]appointments!$G$1:$G$201, ,0)</f>
        <v>Scheduled</v>
      </c>
      <c r="S86" s="1">
        <f>_xlfn.XLOOKUP(management_table[[#This Row],[ Patient Id]],[1]appointments!$B$1:$B$201,[1]appointments!$D$1:$D$201, ,0)</f>
        <v>45033</v>
      </c>
    </row>
    <row r="87" spans="1:19" x14ac:dyDescent="0.35">
      <c r="A87" t="s">
        <v>184</v>
      </c>
      <c r="B87" t="s">
        <v>185</v>
      </c>
      <c r="C87" t="s">
        <v>28</v>
      </c>
      <c r="D87" t="s">
        <v>16</v>
      </c>
      <c r="E87">
        <v>3759.52</v>
      </c>
      <c r="F87" s="1">
        <v>45228</v>
      </c>
      <c r="G87" t="str">
        <f>_xlfn.XLOOKUP(B87,[1]appointments!$A$1:$A$201,[1]appointments!$B$1:$B$201, ,0)</f>
        <v>P017</v>
      </c>
      <c r="H87" t="str">
        <f>_xlfn.XLOOKUP(G87,[2]patients!$A$1:$A$51,[2]patients!$B$1:$B$51, ,0)</f>
        <v>Jane</v>
      </c>
      <c r="I87" t="str">
        <f>_xlfn.XLOOKUP(G87,[2]patients!$A$1:$A$51,[2]patients!$C$1:$C$51, ,0)</f>
        <v>Jones</v>
      </c>
      <c r="J87" t="str">
        <f>_xlfn.XLOOKUP(G87,[2]patients!$A$1:$A$51,[2]patients!$D$1:$D$51, ,0)</f>
        <v>M</v>
      </c>
      <c r="K87" t="str">
        <f>_xlfn.XLOOKUP(G87,[2]patients!$A$1:$A$51,[2]patients!$I$1:$I$51, ,0)</f>
        <v>WellnessCorp</v>
      </c>
      <c r="L87" t="str">
        <f>_xlfn.XLOOKUP(G87,[1]appointments!$B$1:$B$201,[1]appointments!$A$1:$A$201, ,0)</f>
        <v>A086</v>
      </c>
      <c r="M87" t="str">
        <f>_xlfn.XLOOKUP(G87,[1]appointments!$B$1:$B$201,[1]appointments!$F$1:$F$201, ,0)</f>
        <v>Consultation</v>
      </c>
      <c r="N87" t="str">
        <f>_xlfn.XLOOKUP(P87,[3]doctors!$A$1:$A$11,[3]doctors!$B$1:$B$11, ,0)</f>
        <v>Jane</v>
      </c>
      <c r="O87" t="str">
        <f>_xlfn.XLOOKUP(P87,[3]doctors!$A$1:$A$11,[3]doctors!$C$1:$C$11, ,0)</f>
        <v>Davis</v>
      </c>
      <c r="P87" t="str">
        <f>_xlfn.XLOOKUP(G87,[1]appointments!$B$1:$B$201,[1]appointments!$C$1:$C$201, ,0)</f>
        <v>D002</v>
      </c>
      <c r="Q87" t="str">
        <f>_xlfn.XLOOKUP(P87,[3]doctors!$A$1:$A$11,[3]doctors!$D$1:$D$11, ,0)</f>
        <v>Pediatrics</v>
      </c>
      <c r="R87" t="str">
        <f>_xlfn.XLOOKUP(G87,[1]appointments!$B$1:$B$201,[1]appointments!$G$1:$G$201, ,0)</f>
        <v>Cancelled</v>
      </c>
      <c r="S87" s="1">
        <f>_xlfn.XLOOKUP(management_table[[#This Row],[ Patient Id]],[1]appointments!$B$1:$B$201,[1]appointments!$D$1:$D$201, ,0)</f>
        <v>45228</v>
      </c>
    </row>
    <row r="88" spans="1:19" x14ac:dyDescent="0.35">
      <c r="A88" t="s">
        <v>186</v>
      </c>
      <c r="B88" t="s">
        <v>187</v>
      </c>
      <c r="C88" t="s">
        <v>21</v>
      </c>
      <c r="D88" t="s">
        <v>13</v>
      </c>
      <c r="E88">
        <v>3102.74</v>
      </c>
      <c r="F88" s="1">
        <v>45218</v>
      </c>
      <c r="G88" t="str">
        <f>_xlfn.XLOOKUP(B88,[1]appointments!$A$1:$A$201,[1]appointments!$B$1:$B$201, ,0)</f>
        <v>P026</v>
      </c>
      <c r="H88" t="str">
        <f>_xlfn.XLOOKUP(G88,[2]patients!$A$1:$A$51,[2]patients!$B$1:$B$51, ,0)</f>
        <v>John</v>
      </c>
      <c r="I88" t="str">
        <f>_xlfn.XLOOKUP(G88,[2]patients!$A$1:$A$51,[2]patients!$C$1:$C$51, ,0)</f>
        <v>Taylor</v>
      </c>
      <c r="J88" t="str">
        <f>_xlfn.XLOOKUP(G88,[2]patients!$A$1:$A$51,[2]patients!$D$1:$D$51, ,0)</f>
        <v>M</v>
      </c>
      <c r="K88" t="str">
        <f>_xlfn.XLOOKUP(G88,[2]patients!$A$1:$A$51,[2]patients!$I$1:$I$51, ,0)</f>
        <v>MedCare Plus</v>
      </c>
      <c r="L88" t="str">
        <f>_xlfn.XLOOKUP(G88,[1]appointments!$B$1:$B$201,[1]appointments!$A$1:$A$201, ,0)</f>
        <v>A015</v>
      </c>
      <c r="M88" t="str">
        <f>_xlfn.XLOOKUP(G88,[1]appointments!$B$1:$B$201,[1]appointments!$F$1:$F$201, ,0)</f>
        <v>Consultation</v>
      </c>
      <c r="N88" t="str">
        <f>_xlfn.XLOOKUP(P88,[3]doctors!$A$1:$A$11,[3]doctors!$B$1:$B$11, ,0)</f>
        <v>David</v>
      </c>
      <c r="O88" t="str">
        <f>_xlfn.XLOOKUP(P88,[3]doctors!$A$1:$A$11,[3]doctors!$C$1:$C$11, ,0)</f>
        <v>Jones</v>
      </c>
      <c r="P88" t="str">
        <f>_xlfn.XLOOKUP(G88,[1]appointments!$B$1:$B$201,[1]appointments!$C$1:$C$201, ,0)</f>
        <v>D004</v>
      </c>
      <c r="Q88" t="str">
        <f>_xlfn.XLOOKUP(P88,[3]doctors!$A$1:$A$11,[3]doctors!$D$1:$D$11, ,0)</f>
        <v>Pediatrics</v>
      </c>
      <c r="R88" t="str">
        <f>_xlfn.XLOOKUP(G88,[1]appointments!$B$1:$B$201,[1]appointments!$G$1:$G$201, ,0)</f>
        <v>No-show</v>
      </c>
      <c r="S88" s="1">
        <f>_xlfn.XLOOKUP(management_table[[#This Row],[ Patient Id]],[1]appointments!$B$1:$B$201,[1]appointments!$D$1:$D$201, ,0)</f>
        <v>44941</v>
      </c>
    </row>
    <row r="89" spans="1:19" x14ac:dyDescent="0.35">
      <c r="A89" t="s">
        <v>188</v>
      </c>
      <c r="B89" t="s">
        <v>189</v>
      </c>
      <c r="C89" t="s">
        <v>28</v>
      </c>
      <c r="D89" t="s">
        <v>13</v>
      </c>
      <c r="E89">
        <v>1733.72</v>
      </c>
      <c r="F89" s="1">
        <v>45048</v>
      </c>
      <c r="G89" t="str">
        <f>_xlfn.XLOOKUP(B89,[1]appointments!$A$1:$A$201,[1]appointments!$B$1:$B$201, ,0)</f>
        <v>P008</v>
      </c>
      <c r="H89" t="str">
        <f>_xlfn.XLOOKUP(G89,[2]patients!$A$1:$A$51,[2]patients!$B$1:$B$51, ,0)</f>
        <v>David</v>
      </c>
      <c r="I89" t="str">
        <f>_xlfn.XLOOKUP(G89,[2]patients!$A$1:$A$51,[2]patients!$C$1:$C$51, ,0)</f>
        <v>Davis</v>
      </c>
      <c r="J89" t="str">
        <f>_xlfn.XLOOKUP(G89,[2]patients!$A$1:$A$51,[2]patients!$D$1:$D$51, ,0)</f>
        <v>F</v>
      </c>
      <c r="K89" t="str">
        <f>_xlfn.XLOOKUP(G89,[2]patients!$A$1:$A$51,[2]patients!$I$1:$I$51, ,0)</f>
        <v>WellnessCorp</v>
      </c>
      <c r="L89" t="str">
        <f>_xlfn.XLOOKUP(G89,[1]appointments!$B$1:$B$201,[1]appointments!$A$1:$A$201, ,0)</f>
        <v>A088</v>
      </c>
      <c r="M89" t="str">
        <f>_xlfn.XLOOKUP(G89,[1]appointments!$B$1:$B$201,[1]appointments!$F$1:$F$201, ,0)</f>
        <v>Checkup</v>
      </c>
      <c r="N89" t="str">
        <f>_xlfn.XLOOKUP(P89,[3]doctors!$A$1:$A$11,[3]doctors!$B$1:$B$11, ,0)</f>
        <v>Sarah</v>
      </c>
      <c r="O89" t="str">
        <f>_xlfn.XLOOKUP(P89,[3]doctors!$A$1:$A$11,[3]doctors!$C$1:$C$11, ,0)</f>
        <v>Taylor</v>
      </c>
      <c r="P89" t="str">
        <f>_xlfn.XLOOKUP(G89,[1]appointments!$B$1:$B$201,[1]appointments!$C$1:$C$201, ,0)</f>
        <v>D005</v>
      </c>
      <c r="Q89" t="str">
        <f>_xlfn.XLOOKUP(P89,[3]doctors!$A$1:$A$11,[3]doctors!$D$1:$D$11, ,0)</f>
        <v>Dermatology</v>
      </c>
      <c r="R89" t="str">
        <f>_xlfn.XLOOKUP(G89,[1]appointments!$B$1:$B$201,[1]appointments!$G$1:$G$201, ,0)</f>
        <v>Completed</v>
      </c>
      <c r="S89" s="1">
        <f>_xlfn.XLOOKUP(management_table[[#This Row],[ Patient Id]],[1]appointments!$B$1:$B$201,[1]appointments!$D$1:$D$201, ,0)</f>
        <v>45048</v>
      </c>
    </row>
    <row r="90" spans="1:19" x14ac:dyDescent="0.35">
      <c r="A90" t="s">
        <v>190</v>
      </c>
      <c r="B90" t="s">
        <v>191</v>
      </c>
      <c r="C90" t="s">
        <v>8</v>
      </c>
      <c r="D90" t="s">
        <v>9</v>
      </c>
      <c r="E90">
        <v>857.39</v>
      </c>
      <c r="F90" s="1">
        <v>44971</v>
      </c>
      <c r="G90" t="str">
        <f>_xlfn.XLOOKUP(B90,[1]appointments!$A$1:$A$201,[1]appointments!$B$1:$B$201, ,0)</f>
        <v>P029</v>
      </c>
      <c r="H90" t="str">
        <f>_xlfn.XLOOKUP(G90,[2]patients!$A$1:$A$51,[2]patients!$B$1:$B$51, ,0)</f>
        <v>David</v>
      </c>
      <c r="I90" t="str">
        <f>_xlfn.XLOOKUP(G90,[2]patients!$A$1:$A$51,[2]patients!$C$1:$C$51, ,0)</f>
        <v>Smith</v>
      </c>
      <c r="J90" t="str">
        <f>_xlfn.XLOOKUP(G90,[2]patients!$A$1:$A$51,[2]patients!$D$1:$D$51, ,0)</f>
        <v>M</v>
      </c>
      <c r="K90" t="str">
        <f>_xlfn.XLOOKUP(G90,[2]patients!$A$1:$A$51,[2]patients!$I$1:$I$51, ,0)</f>
        <v>HealthIndia</v>
      </c>
      <c r="L90" t="str">
        <f>_xlfn.XLOOKUP(G90,[1]appointments!$B$1:$B$201,[1]appointments!$A$1:$A$201, ,0)</f>
        <v>A012</v>
      </c>
      <c r="M90" t="str">
        <f>_xlfn.XLOOKUP(G90,[1]appointments!$B$1:$B$201,[1]appointments!$F$1:$F$201, ,0)</f>
        <v>Follow-up</v>
      </c>
      <c r="N90" t="str">
        <f>_xlfn.XLOOKUP(P90,[3]doctors!$A$1:$A$11,[3]doctors!$B$1:$B$11, ,0)</f>
        <v>Jane</v>
      </c>
      <c r="O90" t="str">
        <f>_xlfn.XLOOKUP(P90,[3]doctors!$A$1:$A$11,[3]doctors!$C$1:$C$11, ,0)</f>
        <v>Smith</v>
      </c>
      <c r="P90" t="str">
        <f>_xlfn.XLOOKUP(G90,[1]appointments!$B$1:$B$201,[1]appointments!$C$1:$C$201, ,0)</f>
        <v>D003</v>
      </c>
      <c r="Q90" t="str">
        <f>_xlfn.XLOOKUP(P90,[3]doctors!$A$1:$A$11,[3]doctors!$D$1:$D$11, ,0)</f>
        <v>Pediatrics</v>
      </c>
      <c r="R90" t="str">
        <f>_xlfn.XLOOKUP(G90,[1]appointments!$B$1:$B$201,[1]appointments!$G$1:$G$201, ,0)</f>
        <v>Completed</v>
      </c>
      <c r="S90" s="1">
        <f>_xlfn.XLOOKUP(management_table[[#This Row],[ Patient Id]],[1]appointments!$B$1:$B$201,[1]appointments!$D$1:$D$201, ,0)</f>
        <v>45053</v>
      </c>
    </row>
    <row r="91" spans="1:19" x14ac:dyDescent="0.35">
      <c r="A91" t="s">
        <v>192</v>
      </c>
      <c r="B91" t="s">
        <v>193</v>
      </c>
      <c r="C91" t="s">
        <v>51</v>
      </c>
      <c r="D91" t="s">
        <v>13</v>
      </c>
      <c r="E91">
        <v>885.46</v>
      </c>
      <c r="F91" s="1">
        <v>45078</v>
      </c>
      <c r="G91" t="str">
        <f>_xlfn.XLOOKUP(B91,[1]appointments!$A$1:$A$201,[1]appointments!$B$1:$B$201, ,0)</f>
        <v>P026</v>
      </c>
      <c r="H91" t="str">
        <f>_xlfn.XLOOKUP(G91,[2]patients!$A$1:$A$51,[2]patients!$B$1:$B$51, ,0)</f>
        <v>John</v>
      </c>
      <c r="I91" t="str">
        <f>_xlfn.XLOOKUP(G91,[2]patients!$A$1:$A$51,[2]patients!$C$1:$C$51, ,0)</f>
        <v>Taylor</v>
      </c>
      <c r="J91" t="str">
        <f>_xlfn.XLOOKUP(G91,[2]patients!$A$1:$A$51,[2]patients!$D$1:$D$51, ,0)</f>
        <v>M</v>
      </c>
      <c r="K91" t="str">
        <f>_xlfn.XLOOKUP(G91,[2]patients!$A$1:$A$51,[2]patients!$I$1:$I$51, ,0)</f>
        <v>MedCare Plus</v>
      </c>
      <c r="L91" t="str">
        <f>_xlfn.XLOOKUP(G91,[1]appointments!$B$1:$B$201,[1]appointments!$A$1:$A$201, ,0)</f>
        <v>A015</v>
      </c>
      <c r="M91" t="str">
        <f>_xlfn.XLOOKUP(G91,[1]appointments!$B$1:$B$201,[1]appointments!$F$1:$F$201, ,0)</f>
        <v>Consultation</v>
      </c>
      <c r="N91" t="str">
        <f>_xlfn.XLOOKUP(P91,[3]doctors!$A$1:$A$11,[3]doctors!$B$1:$B$11, ,0)</f>
        <v>David</v>
      </c>
      <c r="O91" t="str">
        <f>_xlfn.XLOOKUP(P91,[3]doctors!$A$1:$A$11,[3]doctors!$C$1:$C$11, ,0)</f>
        <v>Jones</v>
      </c>
      <c r="P91" t="str">
        <f>_xlfn.XLOOKUP(G91,[1]appointments!$B$1:$B$201,[1]appointments!$C$1:$C$201, ,0)</f>
        <v>D004</v>
      </c>
      <c r="Q91" t="str">
        <f>_xlfn.XLOOKUP(P91,[3]doctors!$A$1:$A$11,[3]doctors!$D$1:$D$11, ,0)</f>
        <v>Pediatrics</v>
      </c>
      <c r="R91" t="str">
        <f>_xlfn.XLOOKUP(G91,[1]appointments!$B$1:$B$201,[1]appointments!$G$1:$G$201, ,0)</f>
        <v>No-show</v>
      </c>
      <c r="S91" s="1">
        <f>_xlfn.XLOOKUP(management_table[[#This Row],[ Patient Id]],[1]appointments!$B$1:$B$201,[1]appointments!$D$1:$D$201, ,0)</f>
        <v>44941</v>
      </c>
    </row>
    <row r="92" spans="1:19" x14ac:dyDescent="0.35">
      <c r="A92" t="s">
        <v>194</v>
      </c>
      <c r="B92" t="s">
        <v>195</v>
      </c>
      <c r="C92" t="s">
        <v>51</v>
      </c>
      <c r="D92" t="s">
        <v>16</v>
      </c>
      <c r="E92">
        <v>4523.8599999999997</v>
      </c>
      <c r="F92" s="1">
        <v>45088</v>
      </c>
      <c r="G92" t="str">
        <f>_xlfn.XLOOKUP(B92,[1]appointments!$A$1:$A$201,[1]appointments!$B$1:$B$201, ,0)</f>
        <v>P010</v>
      </c>
      <c r="H92" t="str">
        <f>_xlfn.XLOOKUP(G92,[2]patients!$A$1:$A$51,[2]patients!$B$1:$B$51, ,0)</f>
        <v>Michael</v>
      </c>
      <c r="I92" t="str">
        <f>_xlfn.XLOOKUP(G92,[2]patients!$A$1:$A$51,[2]patients!$C$1:$C$51, ,0)</f>
        <v>Taylor</v>
      </c>
      <c r="J92" t="str">
        <f>_xlfn.XLOOKUP(G92,[2]patients!$A$1:$A$51,[2]patients!$D$1:$D$51, ,0)</f>
        <v>M</v>
      </c>
      <c r="K92" t="str">
        <f>_xlfn.XLOOKUP(G92,[2]patients!$A$1:$A$51,[2]patients!$I$1:$I$51, ,0)</f>
        <v>WellnessCorp</v>
      </c>
      <c r="L92" t="str">
        <f>_xlfn.XLOOKUP(G92,[1]appointments!$B$1:$B$201,[1]appointments!$A$1:$A$201, ,0)</f>
        <v>A040</v>
      </c>
      <c r="M92" t="str">
        <f>_xlfn.XLOOKUP(G92,[1]appointments!$B$1:$B$201,[1]appointments!$F$1:$F$201, ,0)</f>
        <v>Therapy</v>
      </c>
      <c r="N92" t="str">
        <f>_xlfn.XLOOKUP(P92,[3]doctors!$A$1:$A$11,[3]doctors!$B$1:$B$11, ,0)</f>
        <v>Sarah</v>
      </c>
      <c r="O92" t="str">
        <f>_xlfn.XLOOKUP(P92,[3]doctors!$A$1:$A$11,[3]doctors!$C$1:$C$11, ,0)</f>
        <v>Smith</v>
      </c>
      <c r="P92" t="str">
        <f>_xlfn.XLOOKUP(G92,[1]appointments!$B$1:$B$201,[1]appointments!$C$1:$C$201, ,0)</f>
        <v>D009</v>
      </c>
      <c r="Q92" t="str">
        <f>_xlfn.XLOOKUP(P92,[3]doctors!$A$1:$A$11,[3]doctors!$D$1:$D$11, ,0)</f>
        <v>Pediatrics</v>
      </c>
      <c r="R92" t="str">
        <f>_xlfn.XLOOKUP(G92,[1]appointments!$B$1:$B$201,[1]appointments!$G$1:$G$201, ,0)</f>
        <v>Completed</v>
      </c>
      <c r="S92" s="1">
        <f>_xlfn.XLOOKUP(management_table[[#This Row],[ Patient Id]],[1]appointments!$B$1:$B$201,[1]appointments!$D$1:$D$201, ,0)</f>
        <v>45012</v>
      </c>
    </row>
    <row r="93" spans="1:19" x14ac:dyDescent="0.35">
      <c r="A93" t="s">
        <v>196</v>
      </c>
      <c r="B93" t="s">
        <v>197</v>
      </c>
      <c r="C93" t="s">
        <v>51</v>
      </c>
      <c r="D93" t="s">
        <v>16</v>
      </c>
      <c r="E93">
        <v>1363.4</v>
      </c>
      <c r="F93" s="1">
        <v>44956</v>
      </c>
      <c r="G93" t="str">
        <f>_xlfn.XLOOKUP(B93,[1]appointments!$A$1:$A$201,[1]appointments!$B$1:$B$201, ,0)</f>
        <v>P026</v>
      </c>
      <c r="H93" t="str">
        <f>_xlfn.XLOOKUP(G93,[2]patients!$A$1:$A$51,[2]patients!$B$1:$B$51, ,0)</f>
        <v>John</v>
      </c>
      <c r="I93" t="str">
        <f>_xlfn.XLOOKUP(G93,[2]patients!$A$1:$A$51,[2]patients!$C$1:$C$51, ,0)</f>
        <v>Taylor</v>
      </c>
      <c r="J93" t="str">
        <f>_xlfn.XLOOKUP(G93,[2]patients!$A$1:$A$51,[2]patients!$D$1:$D$51, ,0)</f>
        <v>M</v>
      </c>
      <c r="K93" t="str">
        <f>_xlfn.XLOOKUP(G93,[2]patients!$A$1:$A$51,[2]patients!$I$1:$I$51, ,0)</f>
        <v>MedCare Plus</v>
      </c>
      <c r="L93" t="str">
        <f>_xlfn.XLOOKUP(G93,[1]appointments!$B$1:$B$201,[1]appointments!$A$1:$A$201, ,0)</f>
        <v>A015</v>
      </c>
      <c r="M93" t="str">
        <f>_xlfn.XLOOKUP(G93,[1]appointments!$B$1:$B$201,[1]appointments!$F$1:$F$201, ,0)</f>
        <v>Consultation</v>
      </c>
      <c r="N93" t="str">
        <f>_xlfn.XLOOKUP(P93,[3]doctors!$A$1:$A$11,[3]doctors!$B$1:$B$11, ,0)</f>
        <v>David</v>
      </c>
      <c r="O93" t="str">
        <f>_xlfn.XLOOKUP(P93,[3]doctors!$A$1:$A$11,[3]doctors!$C$1:$C$11, ,0)</f>
        <v>Jones</v>
      </c>
      <c r="P93" t="str">
        <f>_xlfn.XLOOKUP(G93,[1]appointments!$B$1:$B$201,[1]appointments!$C$1:$C$201, ,0)</f>
        <v>D004</v>
      </c>
      <c r="Q93" t="str">
        <f>_xlfn.XLOOKUP(P93,[3]doctors!$A$1:$A$11,[3]doctors!$D$1:$D$11, ,0)</f>
        <v>Pediatrics</v>
      </c>
      <c r="R93" t="str">
        <f>_xlfn.XLOOKUP(G93,[1]appointments!$B$1:$B$201,[1]appointments!$G$1:$G$201, ,0)</f>
        <v>No-show</v>
      </c>
      <c r="S93" s="1">
        <f>_xlfn.XLOOKUP(management_table[[#This Row],[ Patient Id]],[1]appointments!$B$1:$B$201,[1]appointments!$D$1:$D$201, ,0)</f>
        <v>44941</v>
      </c>
    </row>
    <row r="94" spans="1:19" x14ac:dyDescent="0.35">
      <c r="A94" t="s">
        <v>198</v>
      </c>
      <c r="B94" t="s">
        <v>199</v>
      </c>
      <c r="C94" t="s">
        <v>51</v>
      </c>
      <c r="D94" t="s">
        <v>9</v>
      </c>
      <c r="E94">
        <v>1955.17</v>
      </c>
      <c r="F94" s="1">
        <v>45025</v>
      </c>
      <c r="G94" t="str">
        <f>_xlfn.XLOOKUP(B94,[1]appointments!$A$1:$A$201,[1]appointments!$B$1:$B$201, ,0)</f>
        <v>P034</v>
      </c>
      <c r="H94" t="str">
        <f>_xlfn.XLOOKUP(G94,[2]patients!$A$1:$A$51,[2]patients!$B$1:$B$51, ,0)</f>
        <v>Alex</v>
      </c>
      <c r="I94" t="str">
        <f>_xlfn.XLOOKUP(G94,[2]patients!$A$1:$A$51,[2]patients!$C$1:$C$51, ,0)</f>
        <v>Smith</v>
      </c>
      <c r="J94" t="str">
        <f>_xlfn.XLOOKUP(G94,[2]patients!$A$1:$A$51,[2]patients!$D$1:$D$51, ,0)</f>
        <v>F</v>
      </c>
      <c r="K94" t="str">
        <f>_xlfn.XLOOKUP(G94,[2]patients!$A$1:$A$51,[2]patients!$I$1:$I$51, ,0)</f>
        <v>WellnessCorp</v>
      </c>
      <c r="L94" t="str">
        <f>_xlfn.XLOOKUP(G94,[1]appointments!$B$1:$B$201,[1]appointments!$A$1:$A$201, ,0)</f>
        <v>A001</v>
      </c>
      <c r="M94" t="str">
        <f>_xlfn.XLOOKUP(G94,[1]appointments!$B$1:$B$201,[1]appointments!$F$1:$F$201, ,0)</f>
        <v>Therapy</v>
      </c>
      <c r="N94" t="str">
        <f>_xlfn.XLOOKUP(P94,[3]doctors!$A$1:$A$11,[3]doctors!$B$1:$B$11, ,0)</f>
        <v>Sarah</v>
      </c>
      <c r="O94" t="str">
        <f>_xlfn.XLOOKUP(P94,[3]doctors!$A$1:$A$11,[3]doctors!$C$1:$C$11, ,0)</f>
        <v>Smith</v>
      </c>
      <c r="P94" t="str">
        <f>_xlfn.XLOOKUP(G94,[1]appointments!$B$1:$B$201,[1]appointments!$C$1:$C$201, ,0)</f>
        <v>D009</v>
      </c>
      <c r="Q94" t="str">
        <f>_xlfn.XLOOKUP(P94,[3]doctors!$A$1:$A$11,[3]doctors!$D$1:$D$11, ,0)</f>
        <v>Pediatrics</v>
      </c>
      <c r="R94" t="str">
        <f>_xlfn.XLOOKUP(G94,[1]appointments!$B$1:$B$201,[1]appointments!$G$1:$G$201, ,0)</f>
        <v>Scheduled</v>
      </c>
      <c r="S94" s="1">
        <f>_xlfn.XLOOKUP(management_table[[#This Row],[ Patient Id]],[1]appointments!$B$1:$B$201,[1]appointments!$D$1:$D$201, ,0)</f>
        <v>45147</v>
      </c>
    </row>
    <row r="95" spans="1:19" x14ac:dyDescent="0.35">
      <c r="A95" t="s">
        <v>200</v>
      </c>
      <c r="B95" t="s">
        <v>201</v>
      </c>
      <c r="C95" t="s">
        <v>51</v>
      </c>
      <c r="D95" t="s">
        <v>16</v>
      </c>
      <c r="E95">
        <v>1519.95</v>
      </c>
      <c r="F95" s="1">
        <v>45024</v>
      </c>
      <c r="G95" t="str">
        <f>_xlfn.XLOOKUP(B95,[1]appointments!$A$1:$A$201,[1]appointments!$B$1:$B$201, ,0)</f>
        <v>P041</v>
      </c>
      <c r="H95" t="str">
        <f>_xlfn.XLOOKUP(G95,[2]patients!$A$1:$A$51,[2]patients!$B$1:$B$51, ,0)</f>
        <v>Robert</v>
      </c>
      <c r="I95" t="str">
        <f>_xlfn.XLOOKUP(G95,[2]patients!$A$1:$A$51,[2]patients!$C$1:$C$51, ,0)</f>
        <v>Williams</v>
      </c>
      <c r="J95" t="str">
        <f>_xlfn.XLOOKUP(G95,[2]patients!$A$1:$A$51,[2]patients!$D$1:$D$51, ,0)</f>
        <v>M</v>
      </c>
      <c r="K95" t="str">
        <f>_xlfn.XLOOKUP(G95,[2]patients!$A$1:$A$51,[2]patients!$I$1:$I$51, ,0)</f>
        <v>WellnessCorp</v>
      </c>
      <c r="L95" t="str">
        <f>_xlfn.XLOOKUP(G95,[1]appointments!$B$1:$B$201,[1]appointments!$A$1:$A$201, ,0)</f>
        <v>A094</v>
      </c>
      <c r="M95" t="str">
        <f>_xlfn.XLOOKUP(G95,[1]appointments!$B$1:$B$201,[1]appointments!$F$1:$F$201, ,0)</f>
        <v>Consultation</v>
      </c>
      <c r="N95" t="str">
        <f>_xlfn.XLOOKUP(P95,[3]doctors!$A$1:$A$11,[3]doctors!$B$1:$B$11, ,0)</f>
        <v>Jane</v>
      </c>
      <c r="O95" t="str">
        <f>_xlfn.XLOOKUP(P95,[3]doctors!$A$1:$A$11,[3]doctors!$C$1:$C$11, ,0)</f>
        <v>Davis</v>
      </c>
      <c r="P95" t="str">
        <f>_xlfn.XLOOKUP(G95,[1]appointments!$B$1:$B$201,[1]appointments!$C$1:$C$201, ,0)</f>
        <v>D002</v>
      </c>
      <c r="Q95" t="str">
        <f>_xlfn.XLOOKUP(P95,[3]doctors!$A$1:$A$11,[3]doctors!$D$1:$D$11, ,0)</f>
        <v>Pediatrics</v>
      </c>
      <c r="R95" t="str">
        <f>_xlfn.XLOOKUP(G95,[1]appointments!$B$1:$B$201,[1]appointments!$G$1:$G$201, ,0)</f>
        <v>Cancelled</v>
      </c>
      <c r="S95" s="1">
        <f>_xlfn.XLOOKUP(management_table[[#This Row],[ Patient Id]],[1]appointments!$B$1:$B$201,[1]appointments!$D$1:$D$201, ,0)</f>
        <v>45024</v>
      </c>
    </row>
    <row r="96" spans="1:19" x14ac:dyDescent="0.35">
      <c r="A96" t="s">
        <v>202</v>
      </c>
      <c r="B96" t="s">
        <v>203</v>
      </c>
      <c r="C96" t="s">
        <v>51</v>
      </c>
      <c r="D96" t="s">
        <v>13</v>
      </c>
      <c r="E96">
        <v>2097.48</v>
      </c>
      <c r="F96" s="1">
        <v>45055</v>
      </c>
      <c r="G96" t="str">
        <f>_xlfn.XLOOKUP(B96,[1]appointments!$A$1:$A$201,[1]appointments!$B$1:$B$201, ,0)</f>
        <v>P007</v>
      </c>
      <c r="H96" t="str">
        <f>_xlfn.XLOOKUP(G96,[2]patients!$A$1:$A$51,[2]patients!$B$1:$B$51, ,0)</f>
        <v>Alex</v>
      </c>
      <c r="I96" t="str">
        <f>_xlfn.XLOOKUP(G96,[2]patients!$A$1:$A$51,[2]patients!$C$1:$C$51, ,0)</f>
        <v>Johnson</v>
      </c>
      <c r="J96" t="str">
        <f>_xlfn.XLOOKUP(G96,[2]patients!$A$1:$A$51,[2]patients!$D$1:$D$51, ,0)</f>
        <v>F</v>
      </c>
      <c r="K96" t="str">
        <f>_xlfn.XLOOKUP(G96,[2]patients!$A$1:$A$51,[2]patients!$I$1:$I$51, ,0)</f>
        <v>MedCare Plus</v>
      </c>
      <c r="L96" t="str">
        <f>_xlfn.XLOOKUP(G96,[1]appointments!$B$1:$B$201,[1]appointments!$A$1:$A$201, ,0)</f>
        <v>A095</v>
      </c>
      <c r="M96" t="str">
        <f>_xlfn.XLOOKUP(G96,[1]appointments!$B$1:$B$201,[1]appointments!$F$1:$F$201, ,0)</f>
        <v>Therapy</v>
      </c>
      <c r="N96" t="str">
        <f>_xlfn.XLOOKUP(P96,[3]doctors!$A$1:$A$11,[3]doctors!$B$1:$B$11, ,0)</f>
        <v>Sarah</v>
      </c>
      <c r="O96" t="str">
        <f>_xlfn.XLOOKUP(P96,[3]doctors!$A$1:$A$11,[3]doctors!$C$1:$C$11, ,0)</f>
        <v>Smith</v>
      </c>
      <c r="P96" t="str">
        <f>_xlfn.XLOOKUP(G96,[1]appointments!$B$1:$B$201,[1]appointments!$C$1:$C$201, ,0)</f>
        <v>D009</v>
      </c>
      <c r="Q96" t="str">
        <f>_xlfn.XLOOKUP(P96,[3]doctors!$A$1:$A$11,[3]doctors!$D$1:$D$11, ,0)</f>
        <v>Pediatrics</v>
      </c>
      <c r="R96" t="str">
        <f>_xlfn.XLOOKUP(G96,[1]appointments!$B$1:$B$201,[1]appointments!$G$1:$G$201, ,0)</f>
        <v>Cancelled</v>
      </c>
      <c r="S96" s="1">
        <f>_xlfn.XLOOKUP(management_table[[#This Row],[ Patient Id]],[1]appointments!$B$1:$B$201,[1]appointments!$D$1:$D$201, ,0)</f>
        <v>45055</v>
      </c>
    </row>
    <row r="97" spans="1:19" x14ac:dyDescent="0.35">
      <c r="A97" t="s">
        <v>204</v>
      </c>
      <c r="B97" t="s">
        <v>205</v>
      </c>
      <c r="C97" t="s">
        <v>51</v>
      </c>
      <c r="D97" t="s">
        <v>16</v>
      </c>
      <c r="E97">
        <v>812.41</v>
      </c>
      <c r="F97" s="1">
        <v>45114</v>
      </c>
      <c r="G97" t="str">
        <f>_xlfn.XLOOKUP(B97,[1]appointments!$A$1:$A$201,[1]appointments!$B$1:$B$201, ,0)</f>
        <v>P004</v>
      </c>
      <c r="H97" t="str">
        <f>_xlfn.XLOOKUP(G97,[2]patients!$A$1:$A$51,[2]patients!$B$1:$B$51, ,0)</f>
        <v>Michael</v>
      </c>
      <c r="I97" t="str">
        <f>_xlfn.XLOOKUP(G97,[2]patients!$A$1:$A$51,[2]patients!$C$1:$C$51, ,0)</f>
        <v>Johnson</v>
      </c>
      <c r="J97" t="str">
        <f>_xlfn.XLOOKUP(G97,[2]patients!$A$1:$A$51,[2]patients!$D$1:$D$51, ,0)</f>
        <v>F</v>
      </c>
      <c r="K97" t="str">
        <f>_xlfn.XLOOKUP(G97,[2]patients!$A$1:$A$51,[2]patients!$I$1:$I$51, ,0)</f>
        <v>HealthIndia</v>
      </c>
      <c r="L97" t="str">
        <f>_xlfn.XLOOKUP(G97,[1]appointments!$B$1:$B$201,[1]appointments!$A$1:$A$201, ,0)</f>
        <v>A051</v>
      </c>
      <c r="M97" t="str">
        <f>_xlfn.XLOOKUP(G97,[1]appointments!$B$1:$B$201,[1]appointments!$F$1:$F$201, ,0)</f>
        <v>Checkup</v>
      </c>
      <c r="N97" t="str">
        <f>_xlfn.XLOOKUP(P97,[3]doctors!$A$1:$A$11,[3]doctors!$B$1:$B$11, ,0)</f>
        <v>Alex</v>
      </c>
      <c r="O97" t="str">
        <f>_xlfn.XLOOKUP(P97,[3]doctors!$A$1:$A$11,[3]doctors!$C$1:$C$11, ,0)</f>
        <v>Davis</v>
      </c>
      <c r="P97" t="str">
        <f>_xlfn.XLOOKUP(G97,[1]appointments!$B$1:$B$201,[1]appointments!$C$1:$C$201, ,0)</f>
        <v>D006</v>
      </c>
      <c r="Q97" t="str">
        <f>_xlfn.XLOOKUP(P97,[3]doctors!$A$1:$A$11,[3]doctors!$D$1:$D$11, ,0)</f>
        <v>Pediatrics</v>
      </c>
      <c r="R97" t="str">
        <f>_xlfn.XLOOKUP(G97,[1]appointments!$B$1:$B$201,[1]appointments!$G$1:$G$201, ,0)</f>
        <v>Completed</v>
      </c>
      <c r="S97" s="1">
        <f>_xlfn.XLOOKUP(management_table[[#This Row],[ Patient Id]],[1]appointments!$B$1:$B$201,[1]appointments!$D$1:$D$201, ,0)</f>
        <v>44961</v>
      </c>
    </row>
    <row r="98" spans="1:19" x14ac:dyDescent="0.35">
      <c r="A98" t="s">
        <v>206</v>
      </c>
      <c r="B98" t="s">
        <v>207</v>
      </c>
      <c r="C98" t="s">
        <v>8</v>
      </c>
      <c r="D98" t="s">
        <v>9</v>
      </c>
      <c r="E98">
        <v>2835.77</v>
      </c>
      <c r="F98" s="1">
        <v>45052</v>
      </c>
      <c r="G98" t="str">
        <f>_xlfn.XLOOKUP(B98,[1]appointments!$A$1:$A$201,[1]appointments!$B$1:$B$201, ,0)</f>
        <v>P050</v>
      </c>
      <c r="H98" t="str">
        <f>_xlfn.XLOOKUP(G98,[2]patients!$A$1:$A$51,[2]patients!$B$1:$B$51, ,0)</f>
        <v>Laura</v>
      </c>
      <c r="I98" t="str">
        <f>_xlfn.XLOOKUP(G98,[2]patients!$A$1:$A$51,[2]patients!$C$1:$C$51, ,0)</f>
        <v>Wilson</v>
      </c>
      <c r="J98" t="str">
        <f>_xlfn.XLOOKUP(G98,[2]patients!$A$1:$A$51,[2]patients!$D$1:$D$51, ,0)</f>
        <v>M</v>
      </c>
      <c r="K98" t="str">
        <f>_xlfn.XLOOKUP(G98,[2]patients!$A$1:$A$51,[2]patients!$I$1:$I$51, ,0)</f>
        <v>WellnessCorp</v>
      </c>
      <c r="L98" t="str">
        <f>_xlfn.XLOOKUP(G98,[1]appointments!$B$1:$B$201,[1]appointments!$A$1:$A$201, ,0)</f>
        <v>A063</v>
      </c>
      <c r="M98" t="str">
        <f>_xlfn.XLOOKUP(G98,[1]appointments!$B$1:$B$201,[1]appointments!$F$1:$F$201, ,0)</f>
        <v>Follow-up</v>
      </c>
      <c r="N98" t="str">
        <f>_xlfn.XLOOKUP(P98,[3]doctors!$A$1:$A$11,[3]doctors!$B$1:$B$11, ,0)</f>
        <v>David</v>
      </c>
      <c r="O98" t="str">
        <f>_xlfn.XLOOKUP(P98,[3]doctors!$A$1:$A$11,[3]doctors!$C$1:$C$11, ,0)</f>
        <v>Jones</v>
      </c>
      <c r="P98" t="str">
        <f>_xlfn.XLOOKUP(G98,[1]appointments!$B$1:$B$201,[1]appointments!$C$1:$C$201, ,0)</f>
        <v>D004</v>
      </c>
      <c r="Q98" t="str">
        <f>_xlfn.XLOOKUP(P98,[3]doctors!$A$1:$A$11,[3]doctors!$D$1:$D$11, ,0)</f>
        <v>Pediatrics</v>
      </c>
      <c r="R98" t="str">
        <f>_xlfn.XLOOKUP(G98,[1]appointments!$B$1:$B$201,[1]appointments!$G$1:$G$201, ,0)</f>
        <v>Scheduled</v>
      </c>
      <c r="S98" s="1">
        <f>_xlfn.XLOOKUP(management_table[[#This Row],[ Patient Id]],[1]appointments!$B$1:$B$201,[1]appointments!$D$1:$D$201, ,0)</f>
        <v>45106</v>
      </c>
    </row>
    <row r="99" spans="1:19" x14ac:dyDescent="0.35">
      <c r="A99" t="s">
        <v>208</v>
      </c>
      <c r="B99" t="s">
        <v>209</v>
      </c>
      <c r="C99" t="s">
        <v>21</v>
      </c>
      <c r="D99" t="s">
        <v>13</v>
      </c>
      <c r="E99">
        <v>804.26</v>
      </c>
      <c r="F99" s="1">
        <v>45002</v>
      </c>
      <c r="G99" t="str">
        <f>_xlfn.XLOOKUP(B99,[1]appointments!$A$1:$A$201,[1]appointments!$B$1:$B$201, ,0)</f>
        <v>P045</v>
      </c>
      <c r="H99" t="str">
        <f>_xlfn.XLOOKUP(G99,[2]patients!$A$1:$A$51,[2]patients!$B$1:$B$51, ,0)</f>
        <v>Linda</v>
      </c>
      <c r="I99" t="str">
        <f>_xlfn.XLOOKUP(G99,[2]patients!$A$1:$A$51,[2]patients!$C$1:$C$51, ,0)</f>
        <v>Miller</v>
      </c>
      <c r="J99" t="str">
        <f>_xlfn.XLOOKUP(G99,[2]patients!$A$1:$A$51,[2]patients!$D$1:$D$51, ,0)</f>
        <v>F</v>
      </c>
      <c r="K99" t="str">
        <f>_xlfn.XLOOKUP(G99,[2]patients!$A$1:$A$51,[2]patients!$I$1:$I$51, ,0)</f>
        <v>MedCare Plus</v>
      </c>
      <c r="L99" t="str">
        <f>_xlfn.XLOOKUP(G99,[1]appointments!$B$1:$B$201,[1]appointments!$A$1:$A$201, ,0)</f>
        <v>A006</v>
      </c>
      <c r="M99" t="str">
        <f>_xlfn.XLOOKUP(G99,[1]appointments!$B$1:$B$201,[1]appointments!$F$1:$F$201, ,0)</f>
        <v>Checkup</v>
      </c>
      <c r="N99" t="str">
        <f>_xlfn.XLOOKUP(P99,[3]doctors!$A$1:$A$11,[3]doctors!$B$1:$B$11, ,0)</f>
        <v>Alex</v>
      </c>
      <c r="O99" t="str">
        <f>_xlfn.XLOOKUP(P99,[3]doctors!$A$1:$A$11,[3]doctors!$C$1:$C$11, ,0)</f>
        <v>Davis</v>
      </c>
      <c r="P99" t="str">
        <f>_xlfn.XLOOKUP(G99,[1]appointments!$B$1:$B$201,[1]appointments!$C$1:$C$201, ,0)</f>
        <v>D006</v>
      </c>
      <c r="Q99" t="str">
        <f>_xlfn.XLOOKUP(P99,[3]doctors!$A$1:$A$11,[3]doctors!$D$1:$D$11, ,0)</f>
        <v>Pediatrics</v>
      </c>
      <c r="R99" t="str">
        <f>_xlfn.XLOOKUP(G99,[1]appointments!$B$1:$B$201,[1]appointments!$G$1:$G$201, ,0)</f>
        <v>Scheduled</v>
      </c>
      <c r="S99" s="1">
        <f>_xlfn.XLOOKUP(management_table[[#This Row],[ Patient Id]],[1]appointments!$B$1:$B$201,[1]appointments!$D$1:$D$201, ,0)</f>
        <v>45096</v>
      </c>
    </row>
    <row r="100" spans="1:19" x14ac:dyDescent="0.35">
      <c r="A100" t="s">
        <v>210</v>
      </c>
      <c r="B100" t="s">
        <v>211</v>
      </c>
      <c r="C100" t="s">
        <v>12</v>
      </c>
      <c r="D100" t="s">
        <v>9</v>
      </c>
      <c r="E100">
        <v>4101.6000000000004</v>
      </c>
      <c r="F100" s="1">
        <v>45111</v>
      </c>
      <c r="G100" t="str">
        <f>_xlfn.XLOOKUP(B100,[1]appointments!$A$1:$A$201,[1]appointments!$B$1:$B$201, ,0)</f>
        <v>P011</v>
      </c>
      <c r="H100" t="str">
        <f>_xlfn.XLOOKUP(G100,[2]patients!$A$1:$A$51,[2]patients!$B$1:$B$51, ,0)</f>
        <v>Emily</v>
      </c>
      <c r="I100" t="str">
        <f>_xlfn.XLOOKUP(G100,[2]patients!$A$1:$A$51,[2]patients!$C$1:$C$51, ,0)</f>
        <v>Jones</v>
      </c>
      <c r="J100" t="str">
        <f>_xlfn.XLOOKUP(G100,[2]patients!$A$1:$A$51,[2]patients!$D$1:$D$51, ,0)</f>
        <v>F</v>
      </c>
      <c r="K100" t="str">
        <f>_xlfn.XLOOKUP(G100,[2]patients!$A$1:$A$51,[2]patients!$I$1:$I$51, ,0)</f>
        <v>MedCare Plus</v>
      </c>
      <c r="L100" t="str">
        <f>_xlfn.XLOOKUP(G100,[1]appointments!$B$1:$B$201,[1]appointments!$A$1:$A$201, ,0)</f>
        <v>A099</v>
      </c>
      <c r="M100" t="str">
        <f>_xlfn.XLOOKUP(G100,[1]appointments!$B$1:$B$201,[1]appointments!$F$1:$F$201, ,0)</f>
        <v>Checkup</v>
      </c>
      <c r="N100" t="str">
        <f>_xlfn.XLOOKUP(P100,[3]doctors!$A$1:$A$11,[3]doctors!$B$1:$B$11, ,0)</f>
        <v>Robert</v>
      </c>
      <c r="O100" t="str">
        <f>_xlfn.XLOOKUP(P100,[3]doctors!$A$1:$A$11,[3]doctors!$C$1:$C$11, ,0)</f>
        <v>Davis</v>
      </c>
      <c r="P100" t="str">
        <f>_xlfn.XLOOKUP(G100,[1]appointments!$B$1:$B$201,[1]appointments!$C$1:$C$201, ,0)</f>
        <v>D007</v>
      </c>
      <c r="Q100" t="str">
        <f>_xlfn.XLOOKUP(P100,[3]doctors!$A$1:$A$11,[3]doctors!$D$1:$D$11, ,0)</f>
        <v>Oncology</v>
      </c>
      <c r="R100" t="str">
        <f>_xlfn.XLOOKUP(G100,[1]appointments!$B$1:$B$201,[1]appointments!$G$1:$G$201, ,0)</f>
        <v>Completed</v>
      </c>
      <c r="S100" s="1">
        <f>_xlfn.XLOOKUP(management_table[[#This Row],[ Patient Id]],[1]appointments!$B$1:$B$201,[1]appointments!$D$1:$D$201, ,0)</f>
        <v>45111</v>
      </c>
    </row>
    <row r="101" spans="1:19" x14ac:dyDescent="0.35">
      <c r="A101" t="s">
        <v>212</v>
      </c>
      <c r="B101" t="s">
        <v>213</v>
      </c>
      <c r="C101" t="s">
        <v>28</v>
      </c>
      <c r="D101" t="s">
        <v>13</v>
      </c>
      <c r="E101">
        <v>1551.7</v>
      </c>
      <c r="F101" s="1">
        <v>44987</v>
      </c>
      <c r="G101" t="str">
        <f>_xlfn.XLOOKUP(B101,[1]appointments!$A$1:$A$201,[1]appointments!$B$1:$B$201, ,0)</f>
        <v>P029</v>
      </c>
      <c r="H101" t="str">
        <f>_xlfn.XLOOKUP(G101,[2]patients!$A$1:$A$51,[2]patients!$B$1:$B$51, ,0)</f>
        <v>David</v>
      </c>
      <c r="I101" t="str">
        <f>_xlfn.XLOOKUP(G101,[2]patients!$A$1:$A$51,[2]patients!$C$1:$C$51, ,0)</f>
        <v>Smith</v>
      </c>
      <c r="J101" t="str">
        <f>_xlfn.XLOOKUP(G101,[2]patients!$A$1:$A$51,[2]patients!$D$1:$D$51, ,0)</f>
        <v>M</v>
      </c>
      <c r="K101" t="str">
        <f>_xlfn.XLOOKUP(G101,[2]patients!$A$1:$A$51,[2]patients!$I$1:$I$51, ,0)</f>
        <v>HealthIndia</v>
      </c>
      <c r="L101" t="str">
        <f>_xlfn.XLOOKUP(G101,[1]appointments!$B$1:$B$201,[1]appointments!$A$1:$A$201, ,0)</f>
        <v>A012</v>
      </c>
      <c r="M101" t="str">
        <f>_xlfn.XLOOKUP(G101,[1]appointments!$B$1:$B$201,[1]appointments!$F$1:$F$201, ,0)</f>
        <v>Follow-up</v>
      </c>
      <c r="N101" t="str">
        <f>_xlfn.XLOOKUP(P101,[3]doctors!$A$1:$A$11,[3]doctors!$B$1:$B$11, ,0)</f>
        <v>Jane</v>
      </c>
      <c r="O101" t="str">
        <f>_xlfn.XLOOKUP(P101,[3]doctors!$A$1:$A$11,[3]doctors!$C$1:$C$11, ,0)</f>
        <v>Smith</v>
      </c>
      <c r="P101" t="str">
        <f>_xlfn.XLOOKUP(G101,[1]appointments!$B$1:$B$201,[1]appointments!$C$1:$C$201, ,0)</f>
        <v>D003</v>
      </c>
      <c r="Q101" t="str">
        <f>_xlfn.XLOOKUP(P101,[3]doctors!$A$1:$A$11,[3]doctors!$D$1:$D$11, ,0)</f>
        <v>Pediatrics</v>
      </c>
      <c r="R101" t="str">
        <f>_xlfn.XLOOKUP(G101,[1]appointments!$B$1:$B$201,[1]appointments!$G$1:$G$201, ,0)</f>
        <v>Completed</v>
      </c>
      <c r="S101" s="1">
        <f>_xlfn.XLOOKUP(management_table[[#This Row],[ Patient Id]],[1]appointments!$B$1:$B$201,[1]appointments!$D$1:$D$201, ,0)</f>
        <v>45053</v>
      </c>
    </row>
    <row r="102" spans="1:19" x14ac:dyDescent="0.35">
      <c r="A102" t="s">
        <v>214</v>
      </c>
      <c r="B102" t="s">
        <v>215</v>
      </c>
      <c r="C102" t="s">
        <v>12</v>
      </c>
      <c r="D102" t="s">
        <v>16</v>
      </c>
      <c r="E102">
        <v>2930.05</v>
      </c>
      <c r="F102" s="1">
        <v>45190</v>
      </c>
      <c r="G102" t="str">
        <f>_xlfn.XLOOKUP(B102,[1]appointments!$A$1:$A$201,[1]appointments!$B$1:$B$201, ,0)</f>
        <v>P036</v>
      </c>
      <c r="H102" t="str">
        <f>_xlfn.XLOOKUP(G102,[2]patients!$A$1:$A$51,[2]patients!$B$1:$B$51, ,0)</f>
        <v>Michael</v>
      </c>
      <c r="I102" t="str">
        <f>_xlfn.XLOOKUP(G102,[2]patients!$A$1:$A$51,[2]patients!$C$1:$C$51, ,0)</f>
        <v>Wilson</v>
      </c>
      <c r="J102" t="str">
        <f>_xlfn.XLOOKUP(G102,[2]patients!$A$1:$A$51,[2]patients!$D$1:$D$51, ,0)</f>
        <v>M</v>
      </c>
      <c r="K102" t="str">
        <f>_xlfn.XLOOKUP(G102,[2]patients!$A$1:$A$51,[2]patients!$I$1:$I$51, ,0)</f>
        <v>MedCare Plus</v>
      </c>
      <c r="L102" t="str">
        <f>_xlfn.XLOOKUP(G102,[1]appointments!$B$1:$B$201,[1]appointments!$A$1:$A$201, ,0)</f>
        <v>A035</v>
      </c>
      <c r="M102" t="str">
        <f>_xlfn.XLOOKUP(G102,[1]appointments!$B$1:$B$201,[1]appointments!$F$1:$F$201, ,0)</f>
        <v>Follow-up</v>
      </c>
      <c r="N102" t="str">
        <f>_xlfn.XLOOKUP(P102,[3]doctors!$A$1:$A$11,[3]doctors!$B$1:$B$11, ,0)</f>
        <v>Jane</v>
      </c>
      <c r="O102" t="str">
        <f>_xlfn.XLOOKUP(P102,[3]doctors!$A$1:$A$11,[3]doctors!$C$1:$C$11, ,0)</f>
        <v>Smith</v>
      </c>
      <c r="P102" t="str">
        <f>_xlfn.XLOOKUP(G102,[1]appointments!$B$1:$B$201,[1]appointments!$C$1:$C$201, ,0)</f>
        <v>D003</v>
      </c>
      <c r="Q102" t="str">
        <f>_xlfn.XLOOKUP(P102,[3]doctors!$A$1:$A$11,[3]doctors!$D$1:$D$11, ,0)</f>
        <v>Pediatrics</v>
      </c>
      <c r="R102" t="str">
        <f>_xlfn.XLOOKUP(G102,[1]appointments!$B$1:$B$201,[1]appointments!$G$1:$G$201, ,0)</f>
        <v>Scheduled</v>
      </c>
      <c r="S102" s="1">
        <f>_xlfn.XLOOKUP(management_table[[#This Row],[ Patient Id]],[1]appointments!$B$1:$B$201,[1]appointments!$D$1:$D$201, ,0)</f>
        <v>45034</v>
      </c>
    </row>
    <row r="103" spans="1:19" x14ac:dyDescent="0.35">
      <c r="A103" t="s">
        <v>216</v>
      </c>
      <c r="B103" t="s">
        <v>217</v>
      </c>
      <c r="C103" t="s">
        <v>12</v>
      </c>
      <c r="D103" t="s">
        <v>9</v>
      </c>
      <c r="E103">
        <v>4460.3599999999997</v>
      </c>
      <c r="F103" s="1">
        <v>45224</v>
      </c>
      <c r="G103" t="str">
        <f>_xlfn.XLOOKUP(B103,[1]appointments!$A$1:$A$201,[1]appointments!$B$1:$B$201, ,0)</f>
        <v>P025</v>
      </c>
      <c r="H103" t="str">
        <f>_xlfn.XLOOKUP(G103,[2]patients!$A$1:$A$51,[2]patients!$B$1:$B$51, ,0)</f>
        <v>Robert</v>
      </c>
      <c r="I103" t="str">
        <f>_xlfn.XLOOKUP(G103,[2]patients!$A$1:$A$51,[2]patients!$C$1:$C$51, ,0)</f>
        <v>Wilson</v>
      </c>
      <c r="J103" t="str">
        <f>_xlfn.XLOOKUP(G103,[2]patients!$A$1:$A$51,[2]patients!$D$1:$D$51, ,0)</f>
        <v>M</v>
      </c>
      <c r="K103" t="str">
        <f>_xlfn.XLOOKUP(G103,[2]patients!$A$1:$A$51,[2]patients!$I$1:$I$51, ,0)</f>
        <v>HealthIndia</v>
      </c>
      <c r="L103" t="str">
        <f>_xlfn.XLOOKUP(G103,[1]appointments!$B$1:$B$201,[1]appointments!$A$1:$A$201, ,0)</f>
        <v>A004</v>
      </c>
      <c r="M103" t="str">
        <f>_xlfn.XLOOKUP(G103,[1]appointments!$B$1:$B$201,[1]appointments!$F$1:$F$201, ,0)</f>
        <v>Consultation</v>
      </c>
      <c r="N103" t="str">
        <f>_xlfn.XLOOKUP(P103,[3]doctors!$A$1:$A$11,[3]doctors!$B$1:$B$11, ,0)</f>
        <v>Alex</v>
      </c>
      <c r="O103" t="str">
        <f>_xlfn.XLOOKUP(P103,[3]doctors!$A$1:$A$11,[3]doctors!$C$1:$C$11, ,0)</f>
        <v>Davis</v>
      </c>
      <c r="P103" t="str">
        <f>_xlfn.XLOOKUP(G103,[1]appointments!$B$1:$B$201,[1]appointments!$C$1:$C$201, ,0)</f>
        <v>D006</v>
      </c>
      <c r="Q103" t="str">
        <f>_xlfn.XLOOKUP(P103,[3]doctors!$A$1:$A$11,[3]doctors!$D$1:$D$11, ,0)</f>
        <v>Pediatrics</v>
      </c>
      <c r="R103" t="str">
        <f>_xlfn.XLOOKUP(G103,[1]appointments!$B$1:$B$201,[1]appointments!$G$1:$G$201, ,0)</f>
        <v>Cancelled</v>
      </c>
      <c r="S103" s="1">
        <f>_xlfn.XLOOKUP(management_table[[#This Row],[ Patient Id]],[1]appointments!$B$1:$B$201,[1]appointments!$D$1:$D$201, ,0)</f>
        <v>45170</v>
      </c>
    </row>
    <row r="104" spans="1:19" x14ac:dyDescent="0.35">
      <c r="A104" t="s">
        <v>218</v>
      </c>
      <c r="B104" t="s">
        <v>219</v>
      </c>
      <c r="C104" t="s">
        <v>21</v>
      </c>
      <c r="D104" t="s">
        <v>9</v>
      </c>
      <c r="E104">
        <v>3428.95</v>
      </c>
      <c r="F104" s="1">
        <v>44950</v>
      </c>
      <c r="G104" t="str">
        <f>_xlfn.XLOOKUP(B104,[1]appointments!$A$1:$A$201,[1]appointments!$B$1:$B$201, ,0)</f>
        <v>P021</v>
      </c>
      <c r="H104" t="str">
        <f>_xlfn.XLOOKUP(G104,[2]patients!$A$1:$A$51,[2]patients!$B$1:$B$51, ,0)</f>
        <v>Michael</v>
      </c>
      <c r="I104" t="str">
        <f>_xlfn.XLOOKUP(G104,[2]patients!$A$1:$A$51,[2]patients!$C$1:$C$51, ,0)</f>
        <v>Wilson</v>
      </c>
      <c r="J104" t="str">
        <f>_xlfn.XLOOKUP(G104,[2]patients!$A$1:$A$51,[2]patients!$D$1:$D$51, ,0)</f>
        <v>M</v>
      </c>
      <c r="K104" t="str">
        <f>_xlfn.XLOOKUP(G104,[2]patients!$A$1:$A$51,[2]patients!$I$1:$I$51, ,0)</f>
        <v>WellnessCorp</v>
      </c>
      <c r="L104" t="str">
        <f>_xlfn.XLOOKUP(G104,[1]appointments!$B$1:$B$201,[1]appointments!$A$1:$A$201, ,0)</f>
        <v>A033</v>
      </c>
      <c r="M104" t="str">
        <f>_xlfn.XLOOKUP(G104,[1]appointments!$B$1:$B$201,[1]appointments!$F$1:$F$201, ,0)</f>
        <v>Therapy</v>
      </c>
      <c r="N104" t="str">
        <f>_xlfn.XLOOKUP(P104,[3]doctors!$A$1:$A$11,[3]doctors!$B$1:$B$11, ,0)</f>
        <v>Sarah</v>
      </c>
      <c r="O104" t="str">
        <f>_xlfn.XLOOKUP(P104,[3]doctors!$A$1:$A$11,[3]doctors!$C$1:$C$11, ,0)</f>
        <v>Taylor</v>
      </c>
      <c r="P104" t="str">
        <f>_xlfn.XLOOKUP(G104,[1]appointments!$B$1:$B$201,[1]appointments!$C$1:$C$201, ,0)</f>
        <v>D005</v>
      </c>
      <c r="Q104" t="str">
        <f>_xlfn.XLOOKUP(P104,[3]doctors!$A$1:$A$11,[3]doctors!$D$1:$D$11, ,0)</f>
        <v>Dermatology</v>
      </c>
      <c r="R104" t="str">
        <f>_xlfn.XLOOKUP(G104,[1]appointments!$B$1:$B$201,[1]appointments!$G$1:$G$201, ,0)</f>
        <v>No-show</v>
      </c>
      <c r="S104" s="1">
        <f>_xlfn.XLOOKUP(management_table[[#This Row],[ Patient Id]],[1]appointments!$B$1:$B$201,[1]appointments!$D$1:$D$201, ,0)</f>
        <v>45192</v>
      </c>
    </row>
    <row r="105" spans="1:19" x14ac:dyDescent="0.35">
      <c r="A105" t="s">
        <v>220</v>
      </c>
      <c r="B105" t="s">
        <v>221</v>
      </c>
      <c r="C105" t="s">
        <v>21</v>
      </c>
      <c r="D105" t="s">
        <v>13</v>
      </c>
      <c r="E105">
        <v>2898.31</v>
      </c>
      <c r="F105" s="1">
        <v>45034</v>
      </c>
      <c r="G105" t="str">
        <f>_xlfn.XLOOKUP(B105,[1]appointments!$A$1:$A$201,[1]appointments!$B$1:$B$201, ,0)</f>
        <v>P036</v>
      </c>
      <c r="H105" t="str">
        <f>_xlfn.XLOOKUP(G105,[2]patients!$A$1:$A$51,[2]patients!$B$1:$B$51, ,0)</f>
        <v>Michael</v>
      </c>
      <c r="I105" t="str">
        <f>_xlfn.XLOOKUP(G105,[2]patients!$A$1:$A$51,[2]patients!$C$1:$C$51, ,0)</f>
        <v>Wilson</v>
      </c>
      <c r="J105" t="str">
        <f>_xlfn.XLOOKUP(G105,[2]patients!$A$1:$A$51,[2]patients!$D$1:$D$51, ,0)</f>
        <v>M</v>
      </c>
      <c r="K105" t="str">
        <f>_xlfn.XLOOKUP(G105,[2]patients!$A$1:$A$51,[2]patients!$I$1:$I$51, ,0)</f>
        <v>MedCare Plus</v>
      </c>
      <c r="L105" t="str">
        <f>_xlfn.XLOOKUP(G105,[1]appointments!$B$1:$B$201,[1]appointments!$A$1:$A$201, ,0)</f>
        <v>A035</v>
      </c>
      <c r="M105" t="str">
        <f>_xlfn.XLOOKUP(G105,[1]appointments!$B$1:$B$201,[1]appointments!$F$1:$F$201, ,0)</f>
        <v>Follow-up</v>
      </c>
      <c r="N105" t="str">
        <f>_xlfn.XLOOKUP(P105,[3]doctors!$A$1:$A$11,[3]doctors!$B$1:$B$11, ,0)</f>
        <v>Jane</v>
      </c>
      <c r="O105" t="str">
        <f>_xlfn.XLOOKUP(P105,[3]doctors!$A$1:$A$11,[3]doctors!$C$1:$C$11, ,0)</f>
        <v>Smith</v>
      </c>
      <c r="P105" t="str">
        <f>_xlfn.XLOOKUP(G105,[1]appointments!$B$1:$B$201,[1]appointments!$C$1:$C$201, ,0)</f>
        <v>D003</v>
      </c>
      <c r="Q105" t="str">
        <f>_xlfn.XLOOKUP(P105,[3]doctors!$A$1:$A$11,[3]doctors!$D$1:$D$11, ,0)</f>
        <v>Pediatrics</v>
      </c>
      <c r="R105" t="str">
        <f>_xlfn.XLOOKUP(G105,[1]appointments!$B$1:$B$201,[1]appointments!$G$1:$G$201, ,0)</f>
        <v>Scheduled</v>
      </c>
      <c r="S105" s="1">
        <f>_xlfn.XLOOKUP(management_table[[#This Row],[ Patient Id]],[1]appointments!$B$1:$B$201,[1]appointments!$D$1:$D$201, ,0)</f>
        <v>45034</v>
      </c>
    </row>
    <row r="106" spans="1:19" x14ac:dyDescent="0.35">
      <c r="A106" t="s">
        <v>222</v>
      </c>
      <c r="B106" t="s">
        <v>223</v>
      </c>
      <c r="C106" t="s">
        <v>21</v>
      </c>
      <c r="D106" t="s">
        <v>9</v>
      </c>
      <c r="E106">
        <v>1959.5</v>
      </c>
      <c r="F106" s="1">
        <v>45152</v>
      </c>
      <c r="G106" t="str">
        <f>_xlfn.XLOOKUP(B106,[1]appointments!$A$1:$A$201,[1]appointments!$B$1:$B$201, ,0)</f>
        <v>P010</v>
      </c>
      <c r="H106" t="str">
        <f>_xlfn.XLOOKUP(G106,[2]patients!$A$1:$A$51,[2]patients!$B$1:$B$51, ,0)</f>
        <v>Michael</v>
      </c>
      <c r="I106" t="str">
        <f>_xlfn.XLOOKUP(G106,[2]patients!$A$1:$A$51,[2]patients!$C$1:$C$51, ,0)</f>
        <v>Taylor</v>
      </c>
      <c r="J106" t="str">
        <f>_xlfn.XLOOKUP(G106,[2]patients!$A$1:$A$51,[2]patients!$D$1:$D$51, ,0)</f>
        <v>M</v>
      </c>
      <c r="K106" t="str">
        <f>_xlfn.XLOOKUP(G106,[2]patients!$A$1:$A$51,[2]patients!$I$1:$I$51, ,0)</f>
        <v>WellnessCorp</v>
      </c>
      <c r="L106" t="str">
        <f>_xlfn.XLOOKUP(G106,[1]appointments!$B$1:$B$201,[1]appointments!$A$1:$A$201, ,0)</f>
        <v>A040</v>
      </c>
      <c r="M106" t="str">
        <f>_xlfn.XLOOKUP(G106,[1]appointments!$B$1:$B$201,[1]appointments!$F$1:$F$201, ,0)</f>
        <v>Therapy</v>
      </c>
      <c r="N106" t="str">
        <f>_xlfn.XLOOKUP(P106,[3]doctors!$A$1:$A$11,[3]doctors!$B$1:$B$11, ,0)</f>
        <v>Sarah</v>
      </c>
      <c r="O106" t="str">
        <f>_xlfn.XLOOKUP(P106,[3]doctors!$A$1:$A$11,[3]doctors!$C$1:$C$11, ,0)</f>
        <v>Smith</v>
      </c>
      <c r="P106" t="str">
        <f>_xlfn.XLOOKUP(G106,[1]appointments!$B$1:$B$201,[1]appointments!$C$1:$C$201, ,0)</f>
        <v>D009</v>
      </c>
      <c r="Q106" t="str">
        <f>_xlfn.XLOOKUP(P106,[3]doctors!$A$1:$A$11,[3]doctors!$D$1:$D$11, ,0)</f>
        <v>Pediatrics</v>
      </c>
      <c r="R106" t="str">
        <f>_xlfn.XLOOKUP(G106,[1]appointments!$B$1:$B$201,[1]appointments!$G$1:$G$201, ,0)</f>
        <v>Completed</v>
      </c>
      <c r="S106" s="1">
        <f>_xlfn.XLOOKUP(management_table[[#This Row],[ Patient Id]],[1]appointments!$B$1:$B$201,[1]appointments!$D$1:$D$201, ,0)</f>
        <v>45012</v>
      </c>
    </row>
    <row r="107" spans="1:19" x14ac:dyDescent="0.35">
      <c r="A107" t="s">
        <v>224</v>
      </c>
      <c r="B107" t="s">
        <v>225</v>
      </c>
      <c r="C107" t="s">
        <v>51</v>
      </c>
      <c r="D107" t="s">
        <v>13</v>
      </c>
      <c r="E107">
        <v>1998.51</v>
      </c>
      <c r="F107" s="1">
        <v>45228</v>
      </c>
      <c r="G107" t="str">
        <f>_xlfn.XLOOKUP(B107,[1]appointments!$A$1:$A$201,[1]appointments!$B$1:$B$201, ,0)</f>
        <v>P037</v>
      </c>
      <c r="H107" t="str">
        <f>_xlfn.XLOOKUP(G107,[2]patients!$A$1:$A$51,[2]patients!$B$1:$B$51, ,0)</f>
        <v>Robert</v>
      </c>
      <c r="I107" t="str">
        <f>_xlfn.XLOOKUP(G107,[2]patients!$A$1:$A$51,[2]patients!$C$1:$C$51, ,0)</f>
        <v>Williams</v>
      </c>
      <c r="J107" t="str">
        <f>_xlfn.XLOOKUP(G107,[2]patients!$A$1:$A$51,[2]patients!$D$1:$D$51, ,0)</f>
        <v>M</v>
      </c>
      <c r="K107" t="str">
        <f>_xlfn.XLOOKUP(G107,[2]patients!$A$1:$A$51,[2]patients!$I$1:$I$51, ,0)</f>
        <v>HealthIndia</v>
      </c>
      <c r="L107" t="str">
        <f>_xlfn.XLOOKUP(G107,[1]appointments!$B$1:$B$201,[1]appointments!$A$1:$A$201, ,0)</f>
        <v>A017</v>
      </c>
      <c r="M107" t="str">
        <f>_xlfn.XLOOKUP(G107,[1]appointments!$B$1:$B$201,[1]appointments!$F$1:$F$201, ,0)</f>
        <v>Emergency</v>
      </c>
      <c r="N107" t="str">
        <f>_xlfn.XLOOKUP(P107,[3]doctors!$A$1:$A$11,[3]doctors!$B$1:$B$11, ,0)</f>
        <v>Sarah</v>
      </c>
      <c r="O107" t="str">
        <f>_xlfn.XLOOKUP(P107,[3]doctors!$A$1:$A$11,[3]doctors!$C$1:$C$11, ,0)</f>
        <v>Smith</v>
      </c>
      <c r="P107" t="str">
        <f>_xlfn.XLOOKUP(G107,[1]appointments!$B$1:$B$201,[1]appointments!$C$1:$C$201, ,0)</f>
        <v>D009</v>
      </c>
      <c r="Q107" t="str">
        <f>_xlfn.XLOOKUP(P107,[3]doctors!$A$1:$A$11,[3]doctors!$D$1:$D$11, ,0)</f>
        <v>Pediatrics</v>
      </c>
      <c r="R107" t="str">
        <f>_xlfn.XLOOKUP(G107,[1]appointments!$B$1:$B$201,[1]appointments!$G$1:$G$201, ,0)</f>
        <v>Scheduled</v>
      </c>
      <c r="S107" s="1">
        <f>_xlfn.XLOOKUP(management_table[[#This Row],[ Patient Id]],[1]appointments!$B$1:$B$201,[1]appointments!$D$1:$D$201, ,0)</f>
        <v>45118</v>
      </c>
    </row>
    <row r="108" spans="1:19" x14ac:dyDescent="0.35">
      <c r="A108" t="s">
        <v>226</v>
      </c>
      <c r="B108" t="s">
        <v>227</v>
      </c>
      <c r="C108" t="s">
        <v>8</v>
      </c>
      <c r="D108" t="s">
        <v>13</v>
      </c>
      <c r="E108">
        <v>3512.69</v>
      </c>
      <c r="F108" s="1">
        <v>45033</v>
      </c>
      <c r="G108" t="str">
        <f>_xlfn.XLOOKUP(B108,[1]appointments!$A$1:$A$201,[1]appointments!$B$1:$B$201, ,0)</f>
        <v>P009</v>
      </c>
      <c r="H108" t="str">
        <f>_xlfn.XLOOKUP(G108,[2]patients!$A$1:$A$51,[2]patients!$B$1:$B$51, ,0)</f>
        <v>Laura</v>
      </c>
      <c r="I108" t="str">
        <f>_xlfn.XLOOKUP(G108,[2]patients!$A$1:$A$51,[2]patients!$C$1:$C$51, ,0)</f>
        <v>Davis</v>
      </c>
      <c r="J108" t="str">
        <f>_xlfn.XLOOKUP(G108,[2]patients!$A$1:$A$51,[2]patients!$D$1:$D$51, ,0)</f>
        <v>M</v>
      </c>
      <c r="K108" t="str">
        <f>_xlfn.XLOOKUP(G108,[2]patients!$A$1:$A$51,[2]patients!$I$1:$I$51, ,0)</f>
        <v>PulseSecure</v>
      </c>
      <c r="L108" t="str">
        <f>_xlfn.XLOOKUP(G108,[1]appointments!$B$1:$B$201,[1]appointments!$A$1:$A$201, ,0)</f>
        <v>A107</v>
      </c>
      <c r="M108" t="str">
        <f>_xlfn.XLOOKUP(G108,[1]appointments!$B$1:$B$201,[1]appointments!$F$1:$F$201, ,0)</f>
        <v>Follow-up</v>
      </c>
      <c r="N108" t="str">
        <f>_xlfn.XLOOKUP(P108,[3]doctors!$A$1:$A$11,[3]doctors!$B$1:$B$11, ,0)</f>
        <v>Robert</v>
      </c>
      <c r="O108" t="str">
        <f>_xlfn.XLOOKUP(P108,[3]doctors!$A$1:$A$11,[3]doctors!$C$1:$C$11, ,0)</f>
        <v>Davis</v>
      </c>
      <c r="P108" t="str">
        <f>_xlfn.XLOOKUP(G108,[1]appointments!$B$1:$B$201,[1]appointments!$C$1:$C$201, ,0)</f>
        <v>D007</v>
      </c>
      <c r="Q108" t="str">
        <f>_xlfn.XLOOKUP(P108,[3]doctors!$A$1:$A$11,[3]doctors!$D$1:$D$11, ,0)</f>
        <v>Oncology</v>
      </c>
      <c r="R108" t="str">
        <f>_xlfn.XLOOKUP(G108,[1]appointments!$B$1:$B$201,[1]appointments!$G$1:$G$201, ,0)</f>
        <v>Completed</v>
      </c>
      <c r="S108" s="1">
        <f>_xlfn.XLOOKUP(management_table[[#This Row],[ Patient Id]],[1]appointments!$B$1:$B$201,[1]appointments!$D$1:$D$201, ,0)</f>
        <v>45033</v>
      </c>
    </row>
    <row r="109" spans="1:19" x14ac:dyDescent="0.35">
      <c r="A109" t="s">
        <v>228</v>
      </c>
      <c r="B109" t="s">
        <v>229</v>
      </c>
      <c r="C109" t="s">
        <v>51</v>
      </c>
      <c r="D109" t="s">
        <v>13</v>
      </c>
      <c r="E109">
        <v>4973.63</v>
      </c>
      <c r="F109" s="1">
        <v>45037</v>
      </c>
      <c r="G109" t="str">
        <f>_xlfn.XLOOKUP(B109,[1]appointments!$A$1:$A$201,[1]appointments!$B$1:$B$201, ,0)</f>
        <v>P024</v>
      </c>
      <c r="H109" t="str">
        <f>_xlfn.XLOOKUP(G109,[2]patients!$A$1:$A$51,[2]patients!$B$1:$B$51, ,0)</f>
        <v>Sarah</v>
      </c>
      <c r="I109" t="str">
        <f>_xlfn.XLOOKUP(G109,[2]patients!$A$1:$A$51,[2]patients!$C$1:$C$51, ,0)</f>
        <v>Brown</v>
      </c>
      <c r="J109" t="str">
        <f>_xlfn.XLOOKUP(G109,[2]patients!$A$1:$A$51,[2]patients!$D$1:$D$51, ,0)</f>
        <v>F</v>
      </c>
      <c r="K109" t="str">
        <f>_xlfn.XLOOKUP(G109,[2]patients!$A$1:$A$51,[2]patients!$I$1:$I$51, ,0)</f>
        <v>WellnessCorp</v>
      </c>
      <c r="L109" t="str">
        <f>_xlfn.XLOOKUP(G109,[1]appointments!$B$1:$B$201,[1]appointments!$A$1:$A$201, ,0)</f>
        <v>A053</v>
      </c>
      <c r="M109" t="str">
        <f>_xlfn.XLOOKUP(G109,[1]appointments!$B$1:$B$201,[1]appointments!$F$1:$F$201, ,0)</f>
        <v>Checkup</v>
      </c>
      <c r="N109" t="str">
        <f>_xlfn.XLOOKUP(P109,[3]doctors!$A$1:$A$11,[3]doctors!$B$1:$B$11, ,0)</f>
        <v>Sarah</v>
      </c>
      <c r="O109" t="str">
        <f>_xlfn.XLOOKUP(P109,[3]doctors!$A$1:$A$11,[3]doctors!$C$1:$C$11, ,0)</f>
        <v>Taylor</v>
      </c>
      <c r="P109" t="str">
        <f>_xlfn.XLOOKUP(G109,[1]appointments!$B$1:$B$201,[1]appointments!$C$1:$C$201, ,0)</f>
        <v>D005</v>
      </c>
      <c r="Q109" t="str">
        <f>_xlfn.XLOOKUP(P109,[3]doctors!$A$1:$A$11,[3]doctors!$D$1:$D$11, ,0)</f>
        <v>Dermatology</v>
      </c>
      <c r="R109" t="str">
        <f>_xlfn.XLOOKUP(G109,[1]appointments!$B$1:$B$201,[1]appointments!$G$1:$G$201, ,0)</f>
        <v>Cancelled</v>
      </c>
      <c r="S109" s="1">
        <f>_xlfn.XLOOKUP(management_table[[#This Row],[ Patient Id]],[1]appointments!$B$1:$B$201,[1]appointments!$D$1:$D$201, ,0)</f>
        <v>44969</v>
      </c>
    </row>
    <row r="110" spans="1:19" x14ac:dyDescent="0.35">
      <c r="A110" t="s">
        <v>230</v>
      </c>
      <c r="B110" t="s">
        <v>231</v>
      </c>
      <c r="C110" t="s">
        <v>8</v>
      </c>
      <c r="D110" t="s">
        <v>13</v>
      </c>
      <c r="E110">
        <v>3478.28</v>
      </c>
      <c r="F110" s="1">
        <v>45136</v>
      </c>
      <c r="G110" t="str">
        <f>_xlfn.XLOOKUP(B110,[1]appointments!$A$1:$A$201,[1]appointments!$B$1:$B$201, ,0)</f>
        <v>P035</v>
      </c>
      <c r="H110" t="str">
        <f>_xlfn.XLOOKUP(G110,[2]patients!$A$1:$A$51,[2]patients!$B$1:$B$51, ,0)</f>
        <v>David</v>
      </c>
      <c r="I110" t="str">
        <f>_xlfn.XLOOKUP(G110,[2]patients!$A$1:$A$51,[2]patients!$C$1:$C$51, ,0)</f>
        <v>Wilson</v>
      </c>
      <c r="J110" t="str">
        <f>_xlfn.XLOOKUP(G110,[2]patients!$A$1:$A$51,[2]patients!$D$1:$D$51, ,0)</f>
        <v>F</v>
      </c>
      <c r="K110" t="str">
        <f>_xlfn.XLOOKUP(G110,[2]patients!$A$1:$A$51,[2]patients!$I$1:$I$51, ,0)</f>
        <v>MedCare Plus</v>
      </c>
      <c r="L110" t="str">
        <f>_xlfn.XLOOKUP(G110,[1]appointments!$B$1:$B$201,[1]appointments!$A$1:$A$201, ,0)</f>
        <v>A064</v>
      </c>
      <c r="M110" t="str">
        <f>_xlfn.XLOOKUP(G110,[1]appointments!$B$1:$B$201,[1]appointments!$F$1:$F$201, ,0)</f>
        <v>Checkup</v>
      </c>
      <c r="N110" t="str">
        <f>_xlfn.XLOOKUP(P110,[3]doctors!$A$1:$A$11,[3]doctors!$B$1:$B$11, ,0)</f>
        <v>Alex</v>
      </c>
      <c r="O110" t="str">
        <f>_xlfn.XLOOKUP(P110,[3]doctors!$A$1:$A$11,[3]doctors!$C$1:$C$11, ,0)</f>
        <v>Davis</v>
      </c>
      <c r="P110" t="str">
        <f>_xlfn.XLOOKUP(G110,[1]appointments!$B$1:$B$201,[1]appointments!$C$1:$C$201, ,0)</f>
        <v>D006</v>
      </c>
      <c r="Q110" t="str">
        <f>_xlfn.XLOOKUP(P110,[3]doctors!$A$1:$A$11,[3]doctors!$D$1:$D$11, ,0)</f>
        <v>Pediatrics</v>
      </c>
      <c r="R110" t="str">
        <f>_xlfn.XLOOKUP(G110,[1]appointments!$B$1:$B$201,[1]appointments!$G$1:$G$201, ,0)</f>
        <v>Cancelled</v>
      </c>
      <c r="S110" s="1">
        <f>_xlfn.XLOOKUP(management_table[[#This Row],[ Patient Id]],[1]appointments!$B$1:$B$201,[1]appointments!$D$1:$D$201, ,0)</f>
        <v>45077</v>
      </c>
    </row>
    <row r="111" spans="1:19" x14ac:dyDescent="0.35">
      <c r="A111" t="s">
        <v>232</v>
      </c>
      <c r="B111" t="s">
        <v>233</v>
      </c>
      <c r="C111" t="s">
        <v>8</v>
      </c>
      <c r="D111" t="s">
        <v>16</v>
      </c>
      <c r="E111">
        <v>3010.03</v>
      </c>
      <c r="F111" s="1">
        <v>45126</v>
      </c>
      <c r="G111" t="str">
        <f>_xlfn.XLOOKUP(B111,[1]appointments!$A$1:$A$201,[1]appointments!$B$1:$B$201, ,0)</f>
        <v>P049</v>
      </c>
      <c r="H111" t="str">
        <f>_xlfn.XLOOKUP(G111,[2]patients!$A$1:$A$51,[2]patients!$B$1:$B$51, ,0)</f>
        <v>David</v>
      </c>
      <c r="I111" t="str">
        <f>_xlfn.XLOOKUP(G111,[2]patients!$A$1:$A$51,[2]patients!$C$1:$C$51, ,0)</f>
        <v>Moore</v>
      </c>
      <c r="J111" t="str">
        <f>_xlfn.XLOOKUP(G111,[2]patients!$A$1:$A$51,[2]patients!$D$1:$D$51, ,0)</f>
        <v>M</v>
      </c>
      <c r="K111" t="str">
        <f>_xlfn.XLOOKUP(G111,[2]patients!$A$1:$A$51,[2]patients!$I$1:$I$51, ,0)</f>
        <v>MedCare Plus</v>
      </c>
      <c r="L111" t="str">
        <f>_xlfn.XLOOKUP(G111,[1]appointments!$B$1:$B$201,[1]appointments!$A$1:$A$201, ,0)</f>
        <v>A024</v>
      </c>
      <c r="M111" t="str">
        <f>_xlfn.XLOOKUP(G111,[1]appointments!$B$1:$B$201,[1]appointments!$F$1:$F$201, ,0)</f>
        <v>Checkup</v>
      </c>
      <c r="N111" t="str">
        <f>_xlfn.XLOOKUP(P111,[3]doctors!$A$1:$A$11,[3]doctors!$B$1:$B$11, ,0)</f>
        <v>Linda</v>
      </c>
      <c r="O111" t="str">
        <f>_xlfn.XLOOKUP(P111,[3]doctors!$A$1:$A$11,[3]doctors!$C$1:$C$11, ,0)</f>
        <v>Brown</v>
      </c>
      <c r="P111" t="str">
        <f>_xlfn.XLOOKUP(G111,[1]appointments!$B$1:$B$201,[1]appointments!$C$1:$C$201, ,0)</f>
        <v>D008</v>
      </c>
      <c r="Q111" t="str">
        <f>_xlfn.XLOOKUP(P111,[3]doctors!$A$1:$A$11,[3]doctors!$D$1:$D$11, ,0)</f>
        <v>Dermatology</v>
      </c>
      <c r="R111" t="str">
        <f>_xlfn.XLOOKUP(G111,[1]appointments!$B$1:$B$201,[1]appointments!$G$1:$G$201, ,0)</f>
        <v>Completed</v>
      </c>
      <c r="S111" s="1">
        <f>_xlfn.XLOOKUP(management_table[[#This Row],[ Patient Id]],[1]appointments!$B$1:$B$201,[1]appointments!$D$1:$D$201, ,0)</f>
        <v>45098</v>
      </c>
    </row>
    <row r="112" spans="1:19" x14ac:dyDescent="0.35">
      <c r="A112" t="s">
        <v>234</v>
      </c>
      <c r="B112" t="s">
        <v>235</v>
      </c>
      <c r="C112" t="s">
        <v>12</v>
      </c>
      <c r="D112" t="s">
        <v>13</v>
      </c>
      <c r="E112">
        <v>3787.93</v>
      </c>
      <c r="F112" s="1">
        <v>45068</v>
      </c>
      <c r="G112" t="str">
        <f>_xlfn.XLOOKUP(B112,[1]appointments!$A$1:$A$201,[1]appointments!$B$1:$B$201, ,0)</f>
        <v>P035</v>
      </c>
      <c r="H112" t="str">
        <f>_xlfn.XLOOKUP(G112,[2]patients!$A$1:$A$51,[2]patients!$B$1:$B$51, ,0)</f>
        <v>David</v>
      </c>
      <c r="I112" t="str">
        <f>_xlfn.XLOOKUP(G112,[2]patients!$A$1:$A$51,[2]patients!$C$1:$C$51, ,0)</f>
        <v>Wilson</v>
      </c>
      <c r="J112" t="str">
        <f>_xlfn.XLOOKUP(G112,[2]patients!$A$1:$A$51,[2]patients!$D$1:$D$51, ,0)</f>
        <v>F</v>
      </c>
      <c r="K112" t="str">
        <f>_xlfn.XLOOKUP(G112,[2]patients!$A$1:$A$51,[2]patients!$I$1:$I$51, ,0)</f>
        <v>MedCare Plus</v>
      </c>
      <c r="L112" t="str">
        <f>_xlfn.XLOOKUP(G112,[1]appointments!$B$1:$B$201,[1]appointments!$A$1:$A$201, ,0)</f>
        <v>A064</v>
      </c>
      <c r="M112" t="str">
        <f>_xlfn.XLOOKUP(G112,[1]appointments!$B$1:$B$201,[1]appointments!$F$1:$F$201, ,0)</f>
        <v>Checkup</v>
      </c>
      <c r="N112" t="str">
        <f>_xlfn.XLOOKUP(P112,[3]doctors!$A$1:$A$11,[3]doctors!$B$1:$B$11, ,0)</f>
        <v>Alex</v>
      </c>
      <c r="O112" t="str">
        <f>_xlfn.XLOOKUP(P112,[3]doctors!$A$1:$A$11,[3]doctors!$C$1:$C$11, ,0)</f>
        <v>Davis</v>
      </c>
      <c r="P112" t="str">
        <f>_xlfn.XLOOKUP(G112,[1]appointments!$B$1:$B$201,[1]appointments!$C$1:$C$201, ,0)</f>
        <v>D006</v>
      </c>
      <c r="Q112" t="str">
        <f>_xlfn.XLOOKUP(P112,[3]doctors!$A$1:$A$11,[3]doctors!$D$1:$D$11, ,0)</f>
        <v>Pediatrics</v>
      </c>
      <c r="R112" t="str">
        <f>_xlfn.XLOOKUP(G112,[1]appointments!$B$1:$B$201,[1]appointments!$G$1:$G$201, ,0)</f>
        <v>Cancelled</v>
      </c>
      <c r="S112" s="1">
        <f>_xlfn.XLOOKUP(management_table[[#This Row],[ Patient Id]],[1]appointments!$B$1:$B$201,[1]appointments!$D$1:$D$201, ,0)</f>
        <v>45077</v>
      </c>
    </row>
    <row r="113" spans="1:19" x14ac:dyDescent="0.35">
      <c r="A113" t="s">
        <v>236</v>
      </c>
      <c r="B113" t="s">
        <v>237</v>
      </c>
      <c r="C113" t="s">
        <v>12</v>
      </c>
      <c r="D113" t="s">
        <v>9</v>
      </c>
      <c r="E113">
        <v>2593.4299999999998</v>
      </c>
      <c r="F113" s="1">
        <v>44937</v>
      </c>
      <c r="G113" t="str">
        <f>_xlfn.XLOOKUP(B113,[1]appointments!$A$1:$A$201,[1]appointments!$B$1:$B$201, ,0)</f>
        <v>P048</v>
      </c>
      <c r="H113" t="str">
        <f>_xlfn.XLOOKUP(G113,[2]patients!$A$1:$A$51,[2]patients!$B$1:$B$51, ,0)</f>
        <v>Emily</v>
      </c>
      <c r="I113" t="str">
        <f>_xlfn.XLOOKUP(G113,[2]patients!$A$1:$A$51,[2]patients!$C$1:$C$51, ,0)</f>
        <v>Miller</v>
      </c>
      <c r="J113" t="str">
        <f>_xlfn.XLOOKUP(G113,[2]patients!$A$1:$A$51,[2]patients!$D$1:$D$51, ,0)</f>
        <v>M</v>
      </c>
      <c r="K113" t="str">
        <f>_xlfn.XLOOKUP(G113,[2]patients!$A$1:$A$51,[2]patients!$I$1:$I$51, ,0)</f>
        <v>PulseSecure</v>
      </c>
      <c r="L113" t="str">
        <f>_xlfn.XLOOKUP(G113,[1]appointments!$B$1:$B$201,[1]appointments!$A$1:$A$201, ,0)</f>
        <v>A003</v>
      </c>
      <c r="M113" t="str">
        <f>_xlfn.XLOOKUP(G113,[1]appointments!$B$1:$B$201,[1]appointments!$F$1:$F$201, ,0)</f>
        <v>Consultation</v>
      </c>
      <c r="N113" t="str">
        <f>_xlfn.XLOOKUP(P113,[3]doctors!$A$1:$A$11,[3]doctors!$B$1:$B$11, ,0)</f>
        <v>David</v>
      </c>
      <c r="O113" t="str">
        <f>_xlfn.XLOOKUP(P113,[3]doctors!$A$1:$A$11,[3]doctors!$C$1:$C$11, ,0)</f>
        <v>Jones</v>
      </c>
      <c r="P113" t="str">
        <f>_xlfn.XLOOKUP(G113,[1]appointments!$B$1:$B$201,[1]appointments!$C$1:$C$201, ,0)</f>
        <v>D004</v>
      </c>
      <c r="Q113" t="str">
        <f>_xlfn.XLOOKUP(P113,[3]doctors!$A$1:$A$11,[3]doctors!$D$1:$D$11, ,0)</f>
        <v>Pediatrics</v>
      </c>
      <c r="R113" t="str">
        <f>_xlfn.XLOOKUP(G113,[1]appointments!$B$1:$B$201,[1]appointments!$G$1:$G$201, ,0)</f>
        <v>Cancelled</v>
      </c>
      <c r="S113" s="1">
        <f>_xlfn.XLOOKUP(management_table[[#This Row],[ Patient Id]],[1]appointments!$B$1:$B$201,[1]appointments!$D$1:$D$201, ,0)</f>
        <v>45105</v>
      </c>
    </row>
    <row r="114" spans="1:19" x14ac:dyDescent="0.35">
      <c r="A114" t="s">
        <v>238</v>
      </c>
      <c r="B114" t="s">
        <v>239</v>
      </c>
      <c r="C114" t="s">
        <v>8</v>
      </c>
      <c r="D114" t="s">
        <v>16</v>
      </c>
      <c r="E114">
        <v>770.64</v>
      </c>
      <c r="F114" s="1">
        <v>45254</v>
      </c>
      <c r="G114" t="str">
        <f>_xlfn.XLOOKUP(B114,[1]appointments!$A$1:$A$201,[1]appointments!$B$1:$B$201, ,0)</f>
        <v>P036</v>
      </c>
      <c r="H114" t="str">
        <f>_xlfn.XLOOKUP(G114,[2]patients!$A$1:$A$51,[2]patients!$B$1:$B$51, ,0)</f>
        <v>Michael</v>
      </c>
      <c r="I114" t="str">
        <f>_xlfn.XLOOKUP(G114,[2]patients!$A$1:$A$51,[2]patients!$C$1:$C$51, ,0)</f>
        <v>Wilson</v>
      </c>
      <c r="J114" t="str">
        <f>_xlfn.XLOOKUP(G114,[2]patients!$A$1:$A$51,[2]patients!$D$1:$D$51, ,0)</f>
        <v>M</v>
      </c>
      <c r="K114" t="str">
        <f>_xlfn.XLOOKUP(G114,[2]patients!$A$1:$A$51,[2]patients!$I$1:$I$51, ,0)</f>
        <v>MedCare Plus</v>
      </c>
      <c r="L114" t="str">
        <f>_xlfn.XLOOKUP(G114,[1]appointments!$B$1:$B$201,[1]appointments!$A$1:$A$201, ,0)</f>
        <v>A035</v>
      </c>
      <c r="M114" t="str">
        <f>_xlfn.XLOOKUP(G114,[1]appointments!$B$1:$B$201,[1]appointments!$F$1:$F$201, ,0)</f>
        <v>Follow-up</v>
      </c>
      <c r="N114" t="str">
        <f>_xlfn.XLOOKUP(P114,[3]doctors!$A$1:$A$11,[3]doctors!$B$1:$B$11, ,0)</f>
        <v>Jane</v>
      </c>
      <c r="O114" t="str">
        <f>_xlfn.XLOOKUP(P114,[3]doctors!$A$1:$A$11,[3]doctors!$C$1:$C$11, ,0)</f>
        <v>Smith</v>
      </c>
      <c r="P114" t="str">
        <f>_xlfn.XLOOKUP(G114,[1]appointments!$B$1:$B$201,[1]appointments!$C$1:$C$201, ,0)</f>
        <v>D003</v>
      </c>
      <c r="Q114" t="str">
        <f>_xlfn.XLOOKUP(P114,[3]doctors!$A$1:$A$11,[3]doctors!$D$1:$D$11, ,0)</f>
        <v>Pediatrics</v>
      </c>
      <c r="R114" t="str">
        <f>_xlfn.XLOOKUP(G114,[1]appointments!$B$1:$B$201,[1]appointments!$G$1:$G$201, ,0)</f>
        <v>Scheduled</v>
      </c>
      <c r="S114" s="1">
        <f>_xlfn.XLOOKUP(management_table[[#This Row],[ Patient Id]],[1]appointments!$B$1:$B$201,[1]appointments!$D$1:$D$201, ,0)</f>
        <v>45034</v>
      </c>
    </row>
    <row r="115" spans="1:19" x14ac:dyDescent="0.35">
      <c r="A115" t="s">
        <v>240</v>
      </c>
      <c r="B115" t="s">
        <v>241</v>
      </c>
      <c r="C115" t="s">
        <v>8</v>
      </c>
      <c r="D115" t="s">
        <v>9</v>
      </c>
      <c r="E115">
        <v>3030.34</v>
      </c>
      <c r="F115" s="1">
        <v>45146</v>
      </c>
      <c r="G115" t="str">
        <f>_xlfn.XLOOKUP(B115,[1]appointments!$A$1:$A$201,[1]appointments!$B$1:$B$201, ,0)</f>
        <v>P018</v>
      </c>
      <c r="H115" t="str">
        <f>_xlfn.XLOOKUP(G115,[2]patients!$A$1:$A$51,[2]patients!$B$1:$B$51, ,0)</f>
        <v>Laura</v>
      </c>
      <c r="I115" t="str">
        <f>_xlfn.XLOOKUP(G115,[2]patients!$A$1:$A$51,[2]patients!$C$1:$C$51, ,0)</f>
        <v>Wilson</v>
      </c>
      <c r="J115" t="str">
        <f>_xlfn.XLOOKUP(G115,[2]patients!$A$1:$A$51,[2]patients!$D$1:$D$51, ,0)</f>
        <v>M</v>
      </c>
      <c r="K115" t="str">
        <f>_xlfn.XLOOKUP(G115,[2]patients!$A$1:$A$51,[2]patients!$I$1:$I$51, ,0)</f>
        <v>PulseSecure</v>
      </c>
      <c r="L115" t="str">
        <f>_xlfn.XLOOKUP(G115,[1]appointments!$B$1:$B$201,[1]appointments!$A$1:$A$201, ,0)</f>
        <v>A114</v>
      </c>
      <c r="M115" t="str">
        <f>_xlfn.XLOOKUP(G115,[1]appointments!$B$1:$B$201,[1]appointments!$F$1:$F$201, ,0)</f>
        <v>Therapy</v>
      </c>
      <c r="N115" t="str">
        <f>_xlfn.XLOOKUP(P115,[3]doctors!$A$1:$A$11,[3]doctors!$B$1:$B$11, ,0)</f>
        <v>David</v>
      </c>
      <c r="O115" t="str">
        <f>_xlfn.XLOOKUP(P115,[3]doctors!$A$1:$A$11,[3]doctors!$C$1:$C$11, ,0)</f>
        <v>Taylor</v>
      </c>
      <c r="P115" t="str">
        <f>_xlfn.XLOOKUP(G115,[1]appointments!$B$1:$B$201,[1]appointments!$C$1:$C$201, ,0)</f>
        <v>D001</v>
      </c>
      <c r="Q115" t="str">
        <f>_xlfn.XLOOKUP(P115,[3]doctors!$A$1:$A$11,[3]doctors!$D$1:$D$11, ,0)</f>
        <v>Dermatology</v>
      </c>
      <c r="R115" t="str">
        <f>_xlfn.XLOOKUP(G115,[1]appointments!$B$1:$B$201,[1]appointments!$G$1:$G$201, ,0)</f>
        <v>Completed</v>
      </c>
      <c r="S115" s="1">
        <f>_xlfn.XLOOKUP(management_table[[#This Row],[ Patient Id]],[1]appointments!$B$1:$B$201,[1]appointments!$D$1:$D$201, ,0)</f>
        <v>45146</v>
      </c>
    </row>
    <row r="116" spans="1:19" x14ac:dyDescent="0.35">
      <c r="A116" t="s">
        <v>242</v>
      </c>
      <c r="B116" t="s">
        <v>243</v>
      </c>
      <c r="C116" t="s">
        <v>51</v>
      </c>
      <c r="D116" t="s">
        <v>16</v>
      </c>
      <c r="E116">
        <v>4809.3100000000004</v>
      </c>
      <c r="F116" s="1">
        <v>45224</v>
      </c>
      <c r="G116" t="str">
        <f>_xlfn.XLOOKUP(B116,[1]appointments!$A$1:$A$201,[1]appointments!$B$1:$B$201, ,0)</f>
        <v>P049</v>
      </c>
      <c r="H116" t="str">
        <f>_xlfn.XLOOKUP(G116,[2]patients!$A$1:$A$51,[2]patients!$B$1:$B$51, ,0)</f>
        <v>David</v>
      </c>
      <c r="I116" t="str">
        <f>_xlfn.XLOOKUP(G116,[2]patients!$A$1:$A$51,[2]patients!$C$1:$C$51, ,0)</f>
        <v>Moore</v>
      </c>
      <c r="J116" t="str">
        <f>_xlfn.XLOOKUP(G116,[2]patients!$A$1:$A$51,[2]patients!$D$1:$D$51, ,0)</f>
        <v>M</v>
      </c>
      <c r="K116" t="str">
        <f>_xlfn.XLOOKUP(G116,[2]patients!$A$1:$A$51,[2]patients!$I$1:$I$51, ,0)</f>
        <v>MedCare Plus</v>
      </c>
      <c r="L116" t="str">
        <f>_xlfn.XLOOKUP(G116,[1]appointments!$B$1:$B$201,[1]appointments!$A$1:$A$201, ,0)</f>
        <v>A024</v>
      </c>
      <c r="M116" t="str">
        <f>_xlfn.XLOOKUP(G116,[1]appointments!$B$1:$B$201,[1]appointments!$F$1:$F$201, ,0)</f>
        <v>Checkup</v>
      </c>
      <c r="N116" t="str">
        <f>_xlfn.XLOOKUP(P116,[3]doctors!$A$1:$A$11,[3]doctors!$B$1:$B$11, ,0)</f>
        <v>Linda</v>
      </c>
      <c r="O116" t="str">
        <f>_xlfn.XLOOKUP(P116,[3]doctors!$A$1:$A$11,[3]doctors!$C$1:$C$11, ,0)</f>
        <v>Brown</v>
      </c>
      <c r="P116" t="str">
        <f>_xlfn.XLOOKUP(G116,[1]appointments!$B$1:$B$201,[1]appointments!$C$1:$C$201, ,0)</f>
        <v>D008</v>
      </c>
      <c r="Q116" t="str">
        <f>_xlfn.XLOOKUP(P116,[3]doctors!$A$1:$A$11,[3]doctors!$D$1:$D$11, ,0)</f>
        <v>Dermatology</v>
      </c>
      <c r="R116" t="str">
        <f>_xlfn.XLOOKUP(G116,[1]appointments!$B$1:$B$201,[1]appointments!$G$1:$G$201, ,0)</f>
        <v>Completed</v>
      </c>
      <c r="S116" s="1">
        <f>_xlfn.XLOOKUP(management_table[[#This Row],[ Patient Id]],[1]appointments!$B$1:$B$201,[1]appointments!$D$1:$D$201, ,0)</f>
        <v>45098</v>
      </c>
    </row>
    <row r="117" spans="1:19" x14ac:dyDescent="0.35">
      <c r="A117" t="s">
        <v>244</v>
      </c>
      <c r="B117" t="s">
        <v>245</v>
      </c>
      <c r="C117" t="s">
        <v>51</v>
      </c>
      <c r="D117" t="s">
        <v>13</v>
      </c>
      <c r="E117">
        <v>1288.8599999999999</v>
      </c>
      <c r="F117" s="1">
        <v>45114</v>
      </c>
      <c r="G117" t="str">
        <f>_xlfn.XLOOKUP(B117,[1]appointments!$A$1:$A$201,[1]appointments!$B$1:$B$201, ,0)</f>
        <v>P039</v>
      </c>
      <c r="H117" t="str">
        <f>_xlfn.XLOOKUP(G117,[2]patients!$A$1:$A$51,[2]patients!$B$1:$B$51, ,0)</f>
        <v>Jane</v>
      </c>
      <c r="I117" t="str">
        <f>_xlfn.XLOOKUP(G117,[2]patients!$A$1:$A$51,[2]patients!$C$1:$C$51, ,0)</f>
        <v>Wilson</v>
      </c>
      <c r="J117" t="str">
        <f>_xlfn.XLOOKUP(G117,[2]patients!$A$1:$A$51,[2]patients!$D$1:$D$51, ,0)</f>
        <v>F</v>
      </c>
      <c r="K117" t="str">
        <f>_xlfn.XLOOKUP(G117,[2]patients!$A$1:$A$51,[2]patients!$I$1:$I$51, ,0)</f>
        <v>PulseSecure</v>
      </c>
      <c r="L117" t="str">
        <f>_xlfn.XLOOKUP(G117,[1]appointments!$B$1:$B$201,[1]appointments!$A$1:$A$201, ,0)</f>
        <v>A009</v>
      </c>
      <c r="M117" t="str">
        <f>_xlfn.XLOOKUP(G117,[1]appointments!$B$1:$B$201,[1]appointments!$F$1:$F$201, ,0)</f>
        <v>Follow-up</v>
      </c>
      <c r="N117" t="str">
        <f>_xlfn.XLOOKUP(P117,[3]doctors!$A$1:$A$11,[3]doctors!$B$1:$B$11, ,0)</f>
        <v>Linda</v>
      </c>
      <c r="O117" t="str">
        <f>_xlfn.XLOOKUP(P117,[3]doctors!$A$1:$A$11,[3]doctors!$C$1:$C$11, ,0)</f>
        <v>Wilson</v>
      </c>
      <c r="P117" t="str">
        <f>_xlfn.XLOOKUP(G117,[1]appointments!$B$1:$B$201,[1]appointments!$C$1:$C$201, ,0)</f>
        <v>D010</v>
      </c>
      <c r="Q117" t="str">
        <f>_xlfn.XLOOKUP(P117,[3]doctors!$A$1:$A$11,[3]doctors!$D$1:$D$11, ,0)</f>
        <v>Oncology</v>
      </c>
      <c r="R117" t="str">
        <f>_xlfn.XLOOKUP(G117,[1]appointments!$B$1:$B$201,[1]appointments!$G$1:$G$201, ,0)</f>
        <v>Scheduled</v>
      </c>
      <c r="S117" s="1">
        <f>_xlfn.XLOOKUP(management_table[[#This Row],[ Patient Id]],[1]appointments!$B$1:$B$201,[1]appointments!$D$1:$D$201, ,0)</f>
        <v>44990</v>
      </c>
    </row>
    <row r="118" spans="1:19" x14ac:dyDescent="0.35">
      <c r="A118" t="s">
        <v>246</v>
      </c>
      <c r="B118" t="s">
        <v>247</v>
      </c>
      <c r="C118" t="s">
        <v>12</v>
      </c>
      <c r="D118" t="s">
        <v>16</v>
      </c>
      <c r="E118">
        <v>3605.02</v>
      </c>
      <c r="F118" s="1">
        <v>45097</v>
      </c>
      <c r="G118" t="str">
        <f>_xlfn.XLOOKUP(B118,[1]appointments!$A$1:$A$201,[1]appointments!$B$1:$B$201, ,0)</f>
        <v>P032</v>
      </c>
      <c r="H118" t="str">
        <f>_xlfn.XLOOKUP(G118,[2]patients!$A$1:$A$51,[2]patients!$B$1:$B$51, ,0)</f>
        <v>Alex</v>
      </c>
      <c r="I118" t="str">
        <f>_xlfn.XLOOKUP(G118,[2]patients!$A$1:$A$51,[2]patients!$C$1:$C$51, ,0)</f>
        <v>Moore</v>
      </c>
      <c r="J118" t="str">
        <f>_xlfn.XLOOKUP(G118,[2]patients!$A$1:$A$51,[2]patients!$D$1:$D$51, ,0)</f>
        <v>M</v>
      </c>
      <c r="K118" t="str">
        <f>_xlfn.XLOOKUP(G118,[2]patients!$A$1:$A$51,[2]patients!$I$1:$I$51, ,0)</f>
        <v>MedCare Plus</v>
      </c>
      <c r="L118" t="str">
        <f>_xlfn.XLOOKUP(G118,[1]appointments!$B$1:$B$201,[1]appointments!$A$1:$A$201, ,0)</f>
        <v>A002</v>
      </c>
      <c r="M118" t="str">
        <f>_xlfn.XLOOKUP(G118,[1]appointments!$B$1:$B$201,[1]appointments!$F$1:$F$201, ,0)</f>
        <v>Therapy</v>
      </c>
      <c r="N118" t="str">
        <f>_xlfn.XLOOKUP(P118,[3]doctors!$A$1:$A$11,[3]doctors!$B$1:$B$11, ,0)</f>
        <v>David</v>
      </c>
      <c r="O118" t="str">
        <f>_xlfn.XLOOKUP(P118,[3]doctors!$A$1:$A$11,[3]doctors!$C$1:$C$11, ,0)</f>
        <v>Jones</v>
      </c>
      <c r="P118" t="str">
        <f>_xlfn.XLOOKUP(G118,[1]appointments!$B$1:$B$201,[1]appointments!$C$1:$C$201, ,0)</f>
        <v>D004</v>
      </c>
      <c r="Q118" t="str">
        <f>_xlfn.XLOOKUP(P118,[3]doctors!$A$1:$A$11,[3]doctors!$D$1:$D$11, ,0)</f>
        <v>Pediatrics</v>
      </c>
      <c r="R118" t="str">
        <f>_xlfn.XLOOKUP(G118,[1]appointments!$B$1:$B$201,[1]appointments!$G$1:$G$201, ,0)</f>
        <v>No-show</v>
      </c>
      <c r="S118" s="1">
        <f>_xlfn.XLOOKUP(management_table[[#This Row],[ Patient Id]],[1]appointments!$B$1:$B$201,[1]appointments!$D$1:$D$201, ,0)</f>
        <v>45086</v>
      </c>
    </row>
    <row r="119" spans="1:19" x14ac:dyDescent="0.35">
      <c r="A119" t="s">
        <v>248</v>
      </c>
      <c r="B119" t="s">
        <v>249</v>
      </c>
      <c r="C119" t="s">
        <v>21</v>
      </c>
      <c r="D119" t="s">
        <v>16</v>
      </c>
      <c r="E119">
        <v>1404.2</v>
      </c>
      <c r="F119" s="1">
        <v>45147</v>
      </c>
      <c r="G119" t="str">
        <f>_xlfn.XLOOKUP(B119,[1]appointments!$A$1:$A$201,[1]appointments!$B$1:$B$201, ,0)</f>
        <v>P024</v>
      </c>
      <c r="H119" t="str">
        <f>_xlfn.XLOOKUP(G119,[2]patients!$A$1:$A$51,[2]patients!$B$1:$B$51, ,0)</f>
        <v>Sarah</v>
      </c>
      <c r="I119" t="str">
        <f>_xlfn.XLOOKUP(G119,[2]patients!$A$1:$A$51,[2]patients!$C$1:$C$51, ,0)</f>
        <v>Brown</v>
      </c>
      <c r="J119" t="str">
        <f>_xlfn.XLOOKUP(G119,[2]patients!$A$1:$A$51,[2]patients!$D$1:$D$51, ,0)</f>
        <v>F</v>
      </c>
      <c r="K119" t="str">
        <f>_xlfn.XLOOKUP(G119,[2]patients!$A$1:$A$51,[2]patients!$I$1:$I$51, ,0)</f>
        <v>WellnessCorp</v>
      </c>
      <c r="L119" t="str">
        <f>_xlfn.XLOOKUP(G119,[1]appointments!$B$1:$B$201,[1]appointments!$A$1:$A$201, ,0)</f>
        <v>A053</v>
      </c>
      <c r="M119" t="str">
        <f>_xlfn.XLOOKUP(G119,[1]appointments!$B$1:$B$201,[1]appointments!$F$1:$F$201, ,0)</f>
        <v>Checkup</v>
      </c>
      <c r="N119" t="str">
        <f>_xlfn.XLOOKUP(P119,[3]doctors!$A$1:$A$11,[3]doctors!$B$1:$B$11, ,0)</f>
        <v>Sarah</v>
      </c>
      <c r="O119" t="str">
        <f>_xlfn.XLOOKUP(P119,[3]doctors!$A$1:$A$11,[3]doctors!$C$1:$C$11, ,0)</f>
        <v>Taylor</v>
      </c>
      <c r="P119" t="str">
        <f>_xlfn.XLOOKUP(G119,[1]appointments!$B$1:$B$201,[1]appointments!$C$1:$C$201, ,0)</f>
        <v>D005</v>
      </c>
      <c r="Q119" t="str">
        <f>_xlfn.XLOOKUP(P119,[3]doctors!$A$1:$A$11,[3]doctors!$D$1:$D$11, ,0)</f>
        <v>Dermatology</v>
      </c>
      <c r="R119" t="str">
        <f>_xlfn.XLOOKUP(G119,[1]appointments!$B$1:$B$201,[1]appointments!$G$1:$G$201, ,0)</f>
        <v>Cancelled</v>
      </c>
      <c r="S119" s="1">
        <f>_xlfn.XLOOKUP(management_table[[#This Row],[ Patient Id]],[1]appointments!$B$1:$B$201,[1]appointments!$D$1:$D$201, ,0)</f>
        <v>44969</v>
      </c>
    </row>
    <row r="120" spans="1:19" x14ac:dyDescent="0.35">
      <c r="A120" t="s">
        <v>250</v>
      </c>
      <c r="B120" t="s">
        <v>251</v>
      </c>
      <c r="C120" t="s">
        <v>8</v>
      </c>
      <c r="D120" t="s">
        <v>9</v>
      </c>
      <c r="E120">
        <v>2911.22</v>
      </c>
      <c r="F120" s="1">
        <v>45278</v>
      </c>
      <c r="G120" t="str">
        <f>_xlfn.XLOOKUP(B120,[1]appointments!$A$1:$A$201,[1]appointments!$B$1:$B$201, ,0)</f>
        <v>P023</v>
      </c>
      <c r="H120" t="str">
        <f>_xlfn.XLOOKUP(G120,[2]patients!$A$1:$A$51,[2]patients!$B$1:$B$51, ,0)</f>
        <v>Linda</v>
      </c>
      <c r="I120" t="str">
        <f>_xlfn.XLOOKUP(G120,[2]patients!$A$1:$A$51,[2]patients!$C$1:$C$51, ,0)</f>
        <v>Johnson</v>
      </c>
      <c r="J120" t="str">
        <f>_xlfn.XLOOKUP(G120,[2]patients!$A$1:$A$51,[2]patients!$D$1:$D$51, ,0)</f>
        <v>M</v>
      </c>
      <c r="K120" t="str">
        <f>_xlfn.XLOOKUP(G120,[2]patients!$A$1:$A$51,[2]patients!$I$1:$I$51, ,0)</f>
        <v>WellnessCorp</v>
      </c>
      <c r="L120" t="str">
        <f>_xlfn.XLOOKUP(G120,[1]appointments!$B$1:$B$201,[1]appointments!$A$1:$A$201, ,0)</f>
        <v>A039</v>
      </c>
      <c r="M120" t="str">
        <f>_xlfn.XLOOKUP(G120,[1]appointments!$B$1:$B$201,[1]appointments!$F$1:$F$201, ,0)</f>
        <v>Follow-up</v>
      </c>
      <c r="N120" t="str">
        <f>_xlfn.XLOOKUP(P120,[3]doctors!$A$1:$A$11,[3]doctors!$B$1:$B$11, ,0)</f>
        <v>Jane</v>
      </c>
      <c r="O120" t="str">
        <f>_xlfn.XLOOKUP(P120,[3]doctors!$A$1:$A$11,[3]doctors!$C$1:$C$11, ,0)</f>
        <v>Davis</v>
      </c>
      <c r="P120" t="str">
        <f>_xlfn.XLOOKUP(G120,[1]appointments!$B$1:$B$201,[1]appointments!$C$1:$C$201, ,0)</f>
        <v>D002</v>
      </c>
      <c r="Q120" t="str">
        <f>_xlfn.XLOOKUP(P120,[3]doctors!$A$1:$A$11,[3]doctors!$D$1:$D$11, ,0)</f>
        <v>Pediatrics</v>
      </c>
      <c r="R120" t="str">
        <f>_xlfn.XLOOKUP(G120,[1]appointments!$B$1:$B$201,[1]appointments!$G$1:$G$201, ,0)</f>
        <v>Scheduled</v>
      </c>
      <c r="S120" s="1">
        <f>_xlfn.XLOOKUP(management_table[[#This Row],[ Patient Id]],[1]appointments!$B$1:$B$201,[1]appointments!$D$1:$D$201, ,0)</f>
        <v>45033</v>
      </c>
    </row>
    <row r="121" spans="1:19" x14ac:dyDescent="0.35">
      <c r="A121" t="s">
        <v>252</v>
      </c>
      <c r="B121" t="s">
        <v>253</v>
      </c>
      <c r="C121" t="s">
        <v>51</v>
      </c>
      <c r="D121" t="s">
        <v>9</v>
      </c>
      <c r="E121">
        <v>935.04</v>
      </c>
      <c r="F121" s="1">
        <v>45268</v>
      </c>
      <c r="G121" t="str">
        <f>_xlfn.XLOOKUP(B121,[1]appointments!$A$1:$A$201,[1]appointments!$B$1:$B$201, ,0)</f>
        <v>P032</v>
      </c>
      <c r="H121" t="str">
        <f>_xlfn.XLOOKUP(G121,[2]patients!$A$1:$A$51,[2]patients!$B$1:$B$51, ,0)</f>
        <v>Alex</v>
      </c>
      <c r="I121" t="str">
        <f>_xlfn.XLOOKUP(G121,[2]patients!$A$1:$A$51,[2]patients!$C$1:$C$51, ,0)</f>
        <v>Moore</v>
      </c>
      <c r="J121" t="str">
        <f>_xlfn.XLOOKUP(G121,[2]patients!$A$1:$A$51,[2]patients!$D$1:$D$51, ,0)</f>
        <v>M</v>
      </c>
      <c r="K121" t="str">
        <f>_xlfn.XLOOKUP(G121,[2]patients!$A$1:$A$51,[2]patients!$I$1:$I$51, ,0)</f>
        <v>MedCare Plus</v>
      </c>
      <c r="L121" t="str">
        <f>_xlfn.XLOOKUP(G121,[1]appointments!$B$1:$B$201,[1]appointments!$A$1:$A$201, ,0)</f>
        <v>A002</v>
      </c>
      <c r="M121" t="str">
        <f>_xlfn.XLOOKUP(G121,[1]appointments!$B$1:$B$201,[1]appointments!$F$1:$F$201, ,0)</f>
        <v>Therapy</v>
      </c>
      <c r="N121" t="str">
        <f>_xlfn.XLOOKUP(P121,[3]doctors!$A$1:$A$11,[3]doctors!$B$1:$B$11, ,0)</f>
        <v>David</v>
      </c>
      <c r="O121" t="str">
        <f>_xlfn.XLOOKUP(P121,[3]doctors!$A$1:$A$11,[3]doctors!$C$1:$C$11, ,0)</f>
        <v>Jones</v>
      </c>
      <c r="P121" t="str">
        <f>_xlfn.XLOOKUP(G121,[1]appointments!$B$1:$B$201,[1]appointments!$C$1:$C$201, ,0)</f>
        <v>D004</v>
      </c>
      <c r="Q121" t="str">
        <f>_xlfn.XLOOKUP(P121,[3]doctors!$A$1:$A$11,[3]doctors!$D$1:$D$11, ,0)</f>
        <v>Pediatrics</v>
      </c>
      <c r="R121" t="str">
        <f>_xlfn.XLOOKUP(G121,[1]appointments!$B$1:$B$201,[1]appointments!$G$1:$G$201, ,0)</f>
        <v>No-show</v>
      </c>
      <c r="S121" s="1">
        <f>_xlfn.XLOOKUP(management_table[[#This Row],[ Patient Id]],[1]appointments!$B$1:$B$201,[1]appointments!$D$1:$D$201, ,0)</f>
        <v>45086</v>
      </c>
    </row>
    <row r="122" spans="1:19" x14ac:dyDescent="0.35">
      <c r="A122" t="s">
        <v>254</v>
      </c>
      <c r="B122" t="s">
        <v>255</v>
      </c>
      <c r="C122" t="s">
        <v>12</v>
      </c>
      <c r="D122" t="s">
        <v>13</v>
      </c>
      <c r="E122">
        <v>2526.67</v>
      </c>
      <c r="F122" s="1">
        <v>45023</v>
      </c>
      <c r="G122" t="str">
        <f>_xlfn.XLOOKUP(B122,[1]appointments!$A$1:$A$201,[1]appointments!$B$1:$B$201, ,0)</f>
        <v>P037</v>
      </c>
      <c r="H122" t="str">
        <f>_xlfn.XLOOKUP(G122,[2]patients!$A$1:$A$51,[2]patients!$B$1:$B$51, ,0)</f>
        <v>Robert</v>
      </c>
      <c r="I122" t="str">
        <f>_xlfn.XLOOKUP(G122,[2]patients!$A$1:$A$51,[2]patients!$C$1:$C$51, ,0)</f>
        <v>Williams</v>
      </c>
      <c r="J122" t="str">
        <f>_xlfn.XLOOKUP(G122,[2]patients!$A$1:$A$51,[2]patients!$D$1:$D$51, ,0)</f>
        <v>M</v>
      </c>
      <c r="K122" t="str">
        <f>_xlfn.XLOOKUP(G122,[2]patients!$A$1:$A$51,[2]patients!$I$1:$I$51, ,0)</f>
        <v>HealthIndia</v>
      </c>
      <c r="L122" t="str">
        <f>_xlfn.XLOOKUP(G122,[1]appointments!$B$1:$B$201,[1]appointments!$A$1:$A$201, ,0)</f>
        <v>A017</v>
      </c>
      <c r="M122" t="str">
        <f>_xlfn.XLOOKUP(G122,[1]appointments!$B$1:$B$201,[1]appointments!$F$1:$F$201, ,0)</f>
        <v>Emergency</v>
      </c>
      <c r="N122" t="str">
        <f>_xlfn.XLOOKUP(P122,[3]doctors!$A$1:$A$11,[3]doctors!$B$1:$B$11, ,0)</f>
        <v>Sarah</v>
      </c>
      <c r="O122" t="str">
        <f>_xlfn.XLOOKUP(P122,[3]doctors!$A$1:$A$11,[3]doctors!$C$1:$C$11, ,0)</f>
        <v>Smith</v>
      </c>
      <c r="P122" t="str">
        <f>_xlfn.XLOOKUP(G122,[1]appointments!$B$1:$B$201,[1]appointments!$C$1:$C$201, ,0)</f>
        <v>D009</v>
      </c>
      <c r="Q122" t="str">
        <f>_xlfn.XLOOKUP(P122,[3]doctors!$A$1:$A$11,[3]doctors!$D$1:$D$11, ,0)</f>
        <v>Pediatrics</v>
      </c>
      <c r="R122" t="str">
        <f>_xlfn.XLOOKUP(G122,[1]appointments!$B$1:$B$201,[1]appointments!$G$1:$G$201, ,0)</f>
        <v>Scheduled</v>
      </c>
      <c r="S122" s="1">
        <f>_xlfn.XLOOKUP(management_table[[#This Row],[ Patient Id]],[1]appointments!$B$1:$B$201,[1]appointments!$D$1:$D$201, ,0)</f>
        <v>45118</v>
      </c>
    </row>
    <row r="123" spans="1:19" x14ac:dyDescent="0.35">
      <c r="A123" t="s">
        <v>256</v>
      </c>
      <c r="B123" t="s">
        <v>257</v>
      </c>
      <c r="C123" t="s">
        <v>51</v>
      </c>
      <c r="D123" t="s">
        <v>16</v>
      </c>
      <c r="E123">
        <v>3902.73</v>
      </c>
      <c r="F123" s="1">
        <v>45118</v>
      </c>
      <c r="G123" t="str">
        <f>_xlfn.XLOOKUP(B123,[1]appointments!$A$1:$A$201,[1]appointments!$B$1:$B$201, ,0)</f>
        <v>P012</v>
      </c>
      <c r="H123" t="str">
        <f>_xlfn.XLOOKUP(G123,[2]patients!$A$1:$A$51,[2]patients!$B$1:$B$51, ,0)</f>
        <v>Laura</v>
      </c>
      <c r="I123" t="str">
        <f>_xlfn.XLOOKUP(G123,[2]patients!$A$1:$A$51,[2]patients!$C$1:$C$51, ,0)</f>
        <v>Davis</v>
      </c>
      <c r="J123" t="str">
        <f>_xlfn.XLOOKUP(G123,[2]patients!$A$1:$A$51,[2]patients!$D$1:$D$51, ,0)</f>
        <v>F</v>
      </c>
      <c r="K123" t="str">
        <f>_xlfn.XLOOKUP(G123,[2]patients!$A$1:$A$51,[2]patients!$I$1:$I$51, ,0)</f>
        <v>MedCare Plus</v>
      </c>
      <c r="L123" t="str">
        <f>_xlfn.XLOOKUP(G123,[1]appointments!$B$1:$B$201,[1]appointments!$A$1:$A$201, ,0)</f>
        <v>A014</v>
      </c>
      <c r="M123" t="str">
        <f>_xlfn.XLOOKUP(G123,[1]appointments!$B$1:$B$201,[1]appointments!$F$1:$F$201, ,0)</f>
        <v>Emergency</v>
      </c>
      <c r="N123" t="str">
        <f>_xlfn.XLOOKUP(P123,[3]doctors!$A$1:$A$11,[3]doctors!$B$1:$B$11, ,0)</f>
        <v>Linda</v>
      </c>
      <c r="O123" t="str">
        <f>_xlfn.XLOOKUP(P123,[3]doctors!$A$1:$A$11,[3]doctors!$C$1:$C$11, ,0)</f>
        <v>Wilson</v>
      </c>
      <c r="P123" t="str">
        <f>_xlfn.XLOOKUP(G123,[1]appointments!$B$1:$B$201,[1]appointments!$C$1:$C$201, ,0)</f>
        <v>D010</v>
      </c>
      <c r="Q123" t="str">
        <f>_xlfn.XLOOKUP(P123,[3]doctors!$A$1:$A$11,[3]doctors!$D$1:$D$11, ,0)</f>
        <v>Oncology</v>
      </c>
      <c r="R123" t="str">
        <f>_xlfn.XLOOKUP(G123,[1]appointments!$B$1:$B$201,[1]appointments!$G$1:$G$201, ,0)</f>
        <v>Cancelled</v>
      </c>
      <c r="S123" s="1">
        <f>_xlfn.XLOOKUP(management_table[[#This Row],[ Patient Id]],[1]appointments!$B$1:$B$201,[1]appointments!$D$1:$D$201, ,0)</f>
        <v>45071</v>
      </c>
    </row>
    <row r="124" spans="1:19" x14ac:dyDescent="0.35">
      <c r="A124" t="s">
        <v>258</v>
      </c>
      <c r="B124" t="s">
        <v>259</v>
      </c>
      <c r="C124" t="s">
        <v>8</v>
      </c>
      <c r="D124" t="s">
        <v>16</v>
      </c>
      <c r="E124">
        <v>2064.0700000000002</v>
      </c>
      <c r="F124" s="1">
        <v>44985</v>
      </c>
      <c r="G124" t="str">
        <f>_xlfn.XLOOKUP(B124,[1]appointments!$A$1:$A$201,[1]appointments!$B$1:$B$201, ,0)</f>
        <v>P049</v>
      </c>
      <c r="H124" t="str">
        <f>_xlfn.XLOOKUP(G124,[2]patients!$A$1:$A$51,[2]patients!$B$1:$B$51, ,0)</f>
        <v>David</v>
      </c>
      <c r="I124" t="str">
        <f>_xlfn.XLOOKUP(G124,[2]patients!$A$1:$A$51,[2]patients!$C$1:$C$51, ,0)</f>
        <v>Moore</v>
      </c>
      <c r="J124" t="str">
        <f>_xlfn.XLOOKUP(G124,[2]patients!$A$1:$A$51,[2]patients!$D$1:$D$51, ,0)</f>
        <v>M</v>
      </c>
      <c r="K124" t="str">
        <f>_xlfn.XLOOKUP(G124,[2]patients!$A$1:$A$51,[2]patients!$I$1:$I$51, ,0)</f>
        <v>MedCare Plus</v>
      </c>
      <c r="L124" t="str">
        <f>_xlfn.XLOOKUP(G124,[1]appointments!$B$1:$B$201,[1]appointments!$A$1:$A$201, ,0)</f>
        <v>A024</v>
      </c>
      <c r="M124" t="str">
        <f>_xlfn.XLOOKUP(G124,[1]appointments!$B$1:$B$201,[1]appointments!$F$1:$F$201, ,0)</f>
        <v>Checkup</v>
      </c>
      <c r="N124" t="str">
        <f>_xlfn.XLOOKUP(P124,[3]doctors!$A$1:$A$11,[3]doctors!$B$1:$B$11, ,0)</f>
        <v>Linda</v>
      </c>
      <c r="O124" t="str">
        <f>_xlfn.XLOOKUP(P124,[3]doctors!$A$1:$A$11,[3]doctors!$C$1:$C$11, ,0)</f>
        <v>Brown</v>
      </c>
      <c r="P124" t="str">
        <f>_xlfn.XLOOKUP(G124,[1]appointments!$B$1:$B$201,[1]appointments!$C$1:$C$201, ,0)</f>
        <v>D008</v>
      </c>
      <c r="Q124" t="str">
        <f>_xlfn.XLOOKUP(P124,[3]doctors!$A$1:$A$11,[3]doctors!$D$1:$D$11, ,0)</f>
        <v>Dermatology</v>
      </c>
      <c r="R124" t="str">
        <f>_xlfn.XLOOKUP(G124,[1]appointments!$B$1:$B$201,[1]appointments!$G$1:$G$201, ,0)</f>
        <v>Completed</v>
      </c>
      <c r="S124" s="1">
        <f>_xlfn.XLOOKUP(management_table[[#This Row],[ Patient Id]],[1]appointments!$B$1:$B$201,[1]appointments!$D$1:$D$201, ,0)</f>
        <v>45098</v>
      </c>
    </row>
    <row r="125" spans="1:19" x14ac:dyDescent="0.35">
      <c r="A125" t="s">
        <v>260</v>
      </c>
      <c r="B125" t="s">
        <v>261</v>
      </c>
      <c r="C125" t="s">
        <v>8</v>
      </c>
      <c r="D125" t="s">
        <v>16</v>
      </c>
      <c r="E125">
        <v>3492.1</v>
      </c>
      <c r="F125" s="1">
        <v>45001</v>
      </c>
      <c r="G125" t="str">
        <f>_xlfn.XLOOKUP(B125,[1]appointments!$A$1:$A$201,[1]appointments!$B$1:$B$201, ,0)</f>
        <v>P013</v>
      </c>
      <c r="H125" t="str">
        <f>_xlfn.XLOOKUP(G125,[2]patients!$A$1:$A$51,[2]patients!$B$1:$B$51, ,0)</f>
        <v>Laura</v>
      </c>
      <c r="I125" t="str">
        <f>_xlfn.XLOOKUP(G125,[2]patients!$A$1:$A$51,[2]patients!$C$1:$C$51, ,0)</f>
        <v>Johnson</v>
      </c>
      <c r="J125" t="str">
        <f>_xlfn.XLOOKUP(G125,[2]patients!$A$1:$A$51,[2]patients!$D$1:$D$51, ,0)</f>
        <v>F</v>
      </c>
      <c r="K125" t="str">
        <f>_xlfn.XLOOKUP(G125,[2]patients!$A$1:$A$51,[2]patients!$I$1:$I$51, ,0)</f>
        <v>WellnessCorp</v>
      </c>
      <c r="L125" t="str">
        <f>_xlfn.XLOOKUP(G125,[1]appointments!$B$1:$B$201,[1]appointments!$A$1:$A$201, ,0)</f>
        <v>A078</v>
      </c>
      <c r="M125" t="str">
        <f>_xlfn.XLOOKUP(G125,[1]appointments!$B$1:$B$201,[1]appointments!$F$1:$F$201, ,0)</f>
        <v>Consultation</v>
      </c>
      <c r="N125" t="str">
        <f>_xlfn.XLOOKUP(P125,[3]doctors!$A$1:$A$11,[3]doctors!$B$1:$B$11, ,0)</f>
        <v>Linda</v>
      </c>
      <c r="O125" t="str">
        <f>_xlfn.XLOOKUP(P125,[3]doctors!$A$1:$A$11,[3]doctors!$C$1:$C$11, ,0)</f>
        <v>Brown</v>
      </c>
      <c r="P125" t="str">
        <f>_xlfn.XLOOKUP(G125,[1]appointments!$B$1:$B$201,[1]appointments!$C$1:$C$201, ,0)</f>
        <v>D008</v>
      </c>
      <c r="Q125" t="str">
        <f>_xlfn.XLOOKUP(P125,[3]doctors!$A$1:$A$11,[3]doctors!$D$1:$D$11, ,0)</f>
        <v>Dermatology</v>
      </c>
      <c r="R125" t="str">
        <f>_xlfn.XLOOKUP(G125,[1]appointments!$B$1:$B$201,[1]appointments!$G$1:$G$201, ,0)</f>
        <v>No-show</v>
      </c>
      <c r="S125" s="1">
        <f>_xlfn.XLOOKUP(management_table[[#This Row],[ Patient Id]],[1]appointments!$B$1:$B$201,[1]appointments!$D$1:$D$201, ,0)</f>
        <v>45186</v>
      </c>
    </row>
    <row r="126" spans="1:19" x14ac:dyDescent="0.35">
      <c r="A126" t="s">
        <v>262</v>
      </c>
      <c r="B126" t="s">
        <v>263</v>
      </c>
      <c r="C126" t="s">
        <v>28</v>
      </c>
      <c r="D126" t="s">
        <v>13</v>
      </c>
      <c r="E126">
        <v>4079.52</v>
      </c>
      <c r="F126" s="1">
        <v>44975</v>
      </c>
      <c r="G126" t="str">
        <f>_xlfn.XLOOKUP(B126,[1]appointments!$A$1:$A$201,[1]appointments!$B$1:$B$201, ,0)</f>
        <v>P023</v>
      </c>
      <c r="H126" t="str">
        <f>_xlfn.XLOOKUP(G126,[2]patients!$A$1:$A$51,[2]patients!$B$1:$B$51, ,0)</f>
        <v>Linda</v>
      </c>
      <c r="I126" t="str">
        <f>_xlfn.XLOOKUP(G126,[2]patients!$A$1:$A$51,[2]patients!$C$1:$C$51, ,0)</f>
        <v>Johnson</v>
      </c>
      <c r="J126" t="str">
        <f>_xlfn.XLOOKUP(G126,[2]patients!$A$1:$A$51,[2]patients!$D$1:$D$51, ,0)</f>
        <v>M</v>
      </c>
      <c r="K126" t="str">
        <f>_xlfn.XLOOKUP(G126,[2]patients!$A$1:$A$51,[2]patients!$I$1:$I$51, ,0)</f>
        <v>WellnessCorp</v>
      </c>
      <c r="L126" t="str">
        <f>_xlfn.XLOOKUP(G126,[1]appointments!$B$1:$B$201,[1]appointments!$A$1:$A$201, ,0)</f>
        <v>A039</v>
      </c>
      <c r="M126" t="str">
        <f>_xlfn.XLOOKUP(G126,[1]appointments!$B$1:$B$201,[1]appointments!$F$1:$F$201, ,0)</f>
        <v>Follow-up</v>
      </c>
      <c r="N126" t="str">
        <f>_xlfn.XLOOKUP(P126,[3]doctors!$A$1:$A$11,[3]doctors!$B$1:$B$11, ,0)</f>
        <v>Jane</v>
      </c>
      <c r="O126" t="str">
        <f>_xlfn.XLOOKUP(P126,[3]doctors!$A$1:$A$11,[3]doctors!$C$1:$C$11, ,0)</f>
        <v>Davis</v>
      </c>
      <c r="P126" t="str">
        <f>_xlfn.XLOOKUP(G126,[1]appointments!$B$1:$B$201,[1]appointments!$C$1:$C$201, ,0)</f>
        <v>D002</v>
      </c>
      <c r="Q126" t="str">
        <f>_xlfn.XLOOKUP(P126,[3]doctors!$A$1:$A$11,[3]doctors!$D$1:$D$11, ,0)</f>
        <v>Pediatrics</v>
      </c>
      <c r="R126" t="str">
        <f>_xlfn.XLOOKUP(G126,[1]appointments!$B$1:$B$201,[1]appointments!$G$1:$G$201, ,0)</f>
        <v>Scheduled</v>
      </c>
      <c r="S126" s="1">
        <f>_xlfn.XLOOKUP(management_table[[#This Row],[ Patient Id]],[1]appointments!$B$1:$B$201,[1]appointments!$D$1:$D$201, ,0)</f>
        <v>45033</v>
      </c>
    </row>
    <row r="127" spans="1:19" x14ac:dyDescent="0.35">
      <c r="A127" t="s">
        <v>264</v>
      </c>
      <c r="B127" t="s">
        <v>265</v>
      </c>
      <c r="C127" t="s">
        <v>21</v>
      </c>
      <c r="D127" t="s">
        <v>13</v>
      </c>
      <c r="E127">
        <v>4672.3</v>
      </c>
      <c r="F127" s="1">
        <v>45232</v>
      </c>
      <c r="G127" t="str">
        <f>_xlfn.XLOOKUP(B127,[1]appointments!$A$1:$A$201,[1]appointments!$B$1:$B$201, ,0)</f>
        <v>P025</v>
      </c>
      <c r="H127" t="str">
        <f>_xlfn.XLOOKUP(G127,[2]patients!$A$1:$A$51,[2]patients!$B$1:$B$51, ,0)</f>
        <v>Robert</v>
      </c>
      <c r="I127" t="str">
        <f>_xlfn.XLOOKUP(G127,[2]patients!$A$1:$A$51,[2]patients!$C$1:$C$51, ,0)</f>
        <v>Wilson</v>
      </c>
      <c r="J127" t="str">
        <f>_xlfn.XLOOKUP(G127,[2]patients!$A$1:$A$51,[2]patients!$D$1:$D$51, ,0)</f>
        <v>M</v>
      </c>
      <c r="K127" t="str">
        <f>_xlfn.XLOOKUP(G127,[2]patients!$A$1:$A$51,[2]patients!$I$1:$I$51, ,0)</f>
        <v>HealthIndia</v>
      </c>
      <c r="L127" t="str">
        <f>_xlfn.XLOOKUP(G127,[1]appointments!$B$1:$B$201,[1]appointments!$A$1:$A$201, ,0)</f>
        <v>A004</v>
      </c>
      <c r="M127" t="str">
        <f>_xlfn.XLOOKUP(G127,[1]appointments!$B$1:$B$201,[1]appointments!$F$1:$F$201, ,0)</f>
        <v>Consultation</v>
      </c>
      <c r="N127" t="str">
        <f>_xlfn.XLOOKUP(P127,[3]doctors!$A$1:$A$11,[3]doctors!$B$1:$B$11, ,0)</f>
        <v>Alex</v>
      </c>
      <c r="O127" t="str">
        <f>_xlfn.XLOOKUP(P127,[3]doctors!$A$1:$A$11,[3]doctors!$C$1:$C$11, ,0)</f>
        <v>Davis</v>
      </c>
      <c r="P127" t="str">
        <f>_xlfn.XLOOKUP(G127,[1]appointments!$B$1:$B$201,[1]appointments!$C$1:$C$201, ,0)</f>
        <v>D006</v>
      </c>
      <c r="Q127" t="str">
        <f>_xlfn.XLOOKUP(P127,[3]doctors!$A$1:$A$11,[3]doctors!$D$1:$D$11, ,0)</f>
        <v>Pediatrics</v>
      </c>
      <c r="R127" t="str">
        <f>_xlfn.XLOOKUP(G127,[1]appointments!$B$1:$B$201,[1]appointments!$G$1:$G$201, ,0)</f>
        <v>Cancelled</v>
      </c>
      <c r="S127" s="1">
        <f>_xlfn.XLOOKUP(management_table[[#This Row],[ Patient Id]],[1]appointments!$B$1:$B$201,[1]appointments!$D$1:$D$201, ,0)</f>
        <v>45170</v>
      </c>
    </row>
    <row r="128" spans="1:19" x14ac:dyDescent="0.35">
      <c r="A128" t="s">
        <v>266</v>
      </c>
      <c r="B128" t="s">
        <v>267</v>
      </c>
      <c r="C128" t="s">
        <v>28</v>
      </c>
      <c r="D128" t="s">
        <v>13</v>
      </c>
      <c r="E128">
        <v>1555.89</v>
      </c>
      <c r="F128" s="1">
        <v>45243</v>
      </c>
      <c r="G128" t="str">
        <f>_xlfn.XLOOKUP(B128,[1]appointments!$A$1:$A$201,[1]appointments!$B$1:$B$201, ,0)</f>
        <v>P035</v>
      </c>
      <c r="H128" t="str">
        <f>_xlfn.XLOOKUP(G128,[2]patients!$A$1:$A$51,[2]patients!$B$1:$B$51, ,0)</f>
        <v>David</v>
      </c>
      <c r="I128" t="str">
        <f>_xlfn.XLOOKUP(G128,[2]patients!$A$1:$A$51,[2]patients!$C$1:$C$51, ,0)</f>
        <v>Wilson</v>
      </c>
      <c r="J128" t="str">
        <f>_xlfn.XLOOKUP(G128,[2]patients!$A$1:$A$51,[2]patients!$D$1:$D$51, ,0)</f>
        <v>F</v>
      </c>
      <c r="K128" t="str">
        <f>_xlfn.XLOOKUP(G128,[2]patients!$A$1:$A$51,[2]patients!$I$1:$I$51, ,0)</f>
        <v>MedCare Plus</v>
      </c>
      <c r="L128" t="str">
        <f>_xlfn.XLOOKUP(G128,[1]appointments!$B$1:$B$201,[1]appointments!$A$1:$A$201, ,0)</f>
        <v>A064</v>
      </c>
      <c r="M128" t="str">
        <f>_xlfn.XLOOKUP(G128,[1]appointments!$B$1:$B$201,[1]appointments!$F$1:$F$201, ,0)</f>
        <v>Checkup</v>
      </c>
      <c r="N128" t="str">
        <f>_xlfn.XLOOKUP(P128,[3]doctors!$A$1:$A$11,[3]doctors!$B$1:$B$11, ,0)</f>
        <v>Alex</v>
      </c>
      <c r="O128" t="str">
        <f>_xlfn.XLOOKUP(P128,[3]doctors!$A$1:$A$11,[3]doctors!$C$1:$C$11, ,0)</f>
        <v>Davis</v>
      </c>
      <c r="P128" t="str">
        <f>_xlfn.XLOOKUP(G128,[1]appointments!$B$1:$B$201,[1]appointments!$C$1:$C$201, ,0)</f>
        <v>D006</v>
      </c>
      <c r="Q128" t="str">
        <f>_xlfn.XLOOKUP(P128,[3]doctors!$A$1:$A$11,[3]doctors!$D$1:$D$11, ,0)</f>
        <v>Pediatrics</v>
      </c>
      <c r="R128" t="str">
        <f>_xlfn.XLOOKUP(G128,[1]appointments!$B$1:$B$201,[1]appointments!$G$1:$G$201, ,0)</f>
        <v>Cancelled</v>
      </c>
      <c r="S128" s="1">
        <f>_xlfn.XLOOKUP(management_table[[#This Row],[ Patient Id]],[1]appointments!$B$1:$B$201,[1]appointments!$D$1:$D$201, ,0)</f>
        <v>45077</v>
      </c>
    </row>
    <row r="129" spans="1:19" x14ac:dyDescent="0.35">
      <c r="A129" t="s">
        <v>268</v>
      </c>
      <c r="B129" t="s">
        <v>269</v>
      </c>
      <c r="C129" t="s">
        <v>12</v>
      </c>
      <c r="D129" t="s">
        <v>13</v>
      </c>
      <c r="E129">
        <v>2296.92</v>
      </c>
      <c r="F129" s="1">
        <v>45031</v>
      </c>
      <c r="G129" t="str">
        <f>_xlfn.XLOOKUP(B129,[1]appointments!$A$1:$A$201,[1]appointments!$B$1:$B$201, ,0)</f>
        <v>P041</v>
      </c>
      <c r="H129" t="str">
        <f>_xlfn.XLOOKUP(G129,[2]patients!$A$1:$A$51,[2]patients!$B$1:$B$51, ,0)</f>
        <v>Robert</v>
      </c>
      <c r="I129" t="str">
        <f>_xlfn.XLOOKUP(G129,[2]patients!$A$1:$A$51,[2]patients!$C$1:$C$51, ,0)</f>
        <v>Williams</v>
      </c>
      <c r="J129" t="str">
        <f>_xlfn.XLOOKUP(G129,[2]patients!$A$1:$A$51,[2]patients!$D$1:$D$51, ,0)</f>
        <v>M</v>
      </c>
      <c r="K129" t="str">
        <f>_xlfn.XLOOKUP(G129,[2]patients!$A$1:$A$51,[2]patients!$I$1:$I$51, ,0)</f>
        <v>WellnessCorp</v>
      </c>
      <c r="L129" t="str">
        <f>_xlfn.XLOOKUP(G129,[1]appointments!$B$1:$B$201,[1]appointments!$A$1:$A$201, ,0)</f>
        <v>A094</v>
      </c>
      <c r="M129" t="str">
        <f>_xlfn.XLOOKUP(G129,[1]appointments!$B$1:$B$201,[1]appointments!$F$1:$F$201, ,0)</f>
        <v>Consultation</v>
      </c>
      <c r="N129" t="str">
        <f>_xlfn.XLOOKUP(P129,[3]doctors!$A$1:$A$11,[3]doctors!$B$1:$B$11, ,0)</f>
        <v>Jane</v>
      </c>
      <c r="O129" t="str">
        <f>_xlfn.XLOOKUP(P129,[3]doctors!$A$1:$A$11,[3]doctors!$C$1:$C$11, ,0)</f>
        <v>Davis</v>
      </c>
      <c r="P129" t="str">
        <f>_xlfn.XLOOKUP(G129,[1]appointments!$B$1:$B$201,[1]appointments!$C$1:$C$201, ,0)</f>
        <v>D002</v>
      </c>
      <c r="Q129" t="str">
        <f>_xlfn.XLOOKUP(P129,[3]doctors!$A$1:$A$11,[3]doctors!$D$1:$D$11, ,0)</f>
        <v>Pediatrics</v>
      </c>
      <c r="R129" t="str">
        <f>_xlfn.XLOOKUP(G129,[1]appointments!$B$1:$B$201,[1]appointments!$G$1:$G$201, ,0)</f>
        <v>Cancelled</v>
      </c>
      <c r="S129" s="1">
        <f>_xlfn.XLOOKUP(management_table[[#This Row],[ Patient Id]],[1]appointments!$B$1:$B$201,[1]appointments!$D$1:$D$201, ,0)</f>
        <v>45024</v>
      </c>
    </row>
    <row r="130" spans="1:19" x14ac:dyDescent="0.35">
      <c r="A130" t="s">
        <v>270</v>
      </c>
      <c r="B130" t="s">
        <v>271</v>
      </c>
      <c r="C130" t="s">
        <v>51</v>
      </c>
      <c r="D130" t="s">
        <v>13</v>
      </c>
      <c r="E130">
        <v>1185.8699999999999</v>
      </c>
      <c r="F130" s="1">
        <v>45163</v>
      </c>
      <c r="G130" t="str">
        <f>_xlfn.XLOOKUP(B130,[1]appointments!$A$1:$A$201,[1]appointments!$B$1:$B$201, ,0)</f>
        <v>P030</v>
      </c>
      <c r="H130" t="str">
        <f>_xlfn.XLOOKUP(G130,[2]patients!$A$1:$A$51,[2]patients!$B$1:$B$51, ,0)</f>
        <v>Emily</v>
      </c>
      <c r="I130" t="str">
        <f>_xlfn.XLOOKUP(G130,[2]patients!$A$1:$A$51,[2]patients!$C$1:$C$51, ,0)</f>
        <v>Moore</v>
      </c>
      <c r="J130" t="str">
        <f>_xlfn.XLOOKUP(G130,[2]patients!$A$1:$A$51,[2]patients!$D$1:$D$51, ,0)</f>
        <v>M</v>
      </c>
      <c r="K130" t="str">
        <f>_xlfn.XLOOKUP(G130,[2]patients!$A$1:$A$51,[2]patients!$I$1:$I$51, ,0)</f>
        <v>PulseSecure</v>
      </c>
      <c r="L130" t="str">
        <f>_xlfn.XLOOKUP(G130,[1]appointments!$B$1:$B$201,[1]appointments!$A$1:$A$201, ,0)</f>
        <v>A025</v>
      </c>
      <c r="M130" t="str">
        <f>_xlfn.XLOOKUP(G130,[1]appointments!$B$1:$B$201,[1]appointments!$F$1:$F$201, ,0)</f>
        <v>Follow-up</v>
      </c>
      <c r="N130" t="str">
        <f>_xlfn.XLOOKUP(P130,[3]doctors!$A$1:$A$11,[3]doctors!$B$1:$B$11, ,0)</f>
        <v>David</v>
      </c>
      <c r="O130" t="str">
        <f>_xlfn.XLOOKUP(P130,[3]doctors!$A$1:$A$11,[3]doctors!$C$1:$C$11, ,0)</f>
        <v>Taylor</v>
      </c>
      <c r="P130" t="str">
        <f>_xlfn.XLOOKUP(G130,[1]appointments!$B$1:$B$201,[1]appointments!$C$1:$C$201, ,0)</f>
        <v>D001</v>
      </c>
      <c r="Q130" t="str">
        <f>_xlfn.XLOOKUP(P130,[3]doctors!$A$1:$A$11,[3]doctors!$D$1:$D$11, ,0)</f>
        <v>Dermatology</v>
      </c>
      <c r="R130" t="str">
        <f>_xlfn.XLOOKUP(G130,[1]appointments!$B$1:$B$201,[1]appointments!$G$1:$G$201, ,0)</f>
        <v>No-show</v>
      </c>
      <c r="S130" s="1">
        <f>_xlfn.XLOOKUP(management_table[[#This Row],[ Patient Id]],[1]appointments!$B$1:$B$201,[1]appointments!$D$1:$D$201, ,0)</f>
        <v>44982</v>
      </c>
    </row>
    <row r="131" spans="1:19" x14ac:dyDescent="0.35">
      <c r="A131" t="s">
        <v>272</v>
      </c>
      <c r="B131" t="s">
        <v>273</v>
      </c>
      <c r="C131" t="s">
        <v>12</v>
      </c>
      <c r="D131" t="s">
        <v>9</v>
      </c>
      <c r="E131">
        <v>4966.18</v>
      </c>
      <c r="F131" s="1">
        <v>44980</v>
      </c>
      <c r="G131" t="str">
        <f>_xlfn.XLOOKUP(B131,[1]appointments!$A$1:$A$201,[1]appointments!$B$1:$B$201, ,0)</f>
        <v>P017</v>
      </c>
      <c r="H131" t="str">
        <f>_xlfn.XLOOKUP(G131,[2]patients!$A$1:$A$51,[2]patients!$B$1:$B$51, ,0)</f>
        <v>Jane</v>
      </c>
      <c r="I131" t="str">
        <f>_xlfn.XLOOKUP(G131,[2]patients!$A$1:$A$51,[2]patients!$C$1:$C$51, ,0)</f>
        <v>Jones</v>
      </c>
      <c r="J131" t="str">
        <f>_xlfn.XLOOKUP(G131,[2]patients!$A$1:$A$51,[2]patients!$D$1:$D$51, ,0)</f>
        <v>M</v>
      </c>
      <c r="K131" t="str">
        <f>_xlfn.XLOOKUP(G131,[2]patients!$A$1:$A$51,[2]patients!$I$1:$I$51, ,0)</f>
        <v>WellnessCorp</v>
      </c>
      <c r="L131" t="str">
        <f>_xlfn.XLOOKUP(G131,[1]appointments!$B$1:$B$201,[1]appointments!$A$1:$A$201, ,0)</f>
        <v>A086</v>
      </c>
      <c r="M131" t="str">
        <f>_xlfn.XLOOKUP(G131,[1]appointments!$B$1:$B$201,[1]appointments!$F$1:$F$201, ,0)</f>
        <v>Consultation</v>
      </c>
      <c r="N131" t="str">
        <f>_xlfn.XLOOKUP(P131,[3]doctors!$A$1:$A$11,[3]doctors!$B$1:$B$11, ,0)</f>
        <v>Jane</v>
      </c>
      <c r="O131" t="str">
        <f>_xlfn.XLOOKUP(P131,[3]doctors!$A$1:$A$11,[3]doctors!$C$1:$C$11, ,0)</f>
        <v>Davis</v>
      </c>
      <c r="P131" t="str">
        <f>_xlfn.XLOOKUP(G131,[1]appointments!$B$1:$B$201,[1]appointments!$C$1:$C$201, ,0)</f>
        <v>D002</v>
      </c>
      <c r="Q131" t="str">
        <f>_xlfn.XLOOKUP(P131,[3]doctors!$A$1:$A$11,[3]doctors!$D$1:$D$11, ,0)</f>
        <v>Pediatrics</v>
      </c>
      <c r="R131" t="str">
        <f>_xlfn.XLOOKUP(G131,[1]appointments!$B$1:$B$201,[1]appointments!$G$1:$G$201, ,0)</f>
        <v>Cancelled</v>
      </c>
      <c r="S131" s="1">
        <f>_xlfn.XLOOKUP(management_table[[#This Row],[ Patient Id]],[1]appointments!$B$1:$B$201,[1]appointments!$D$1:$D$201, ,0)</f>
        <v>45228</v>
      </c>
    </row>
    <row r="132" spans="1:19" x14ac:dyDescent="0.35">
      <c r="A132" t="s">
        <v>274</v>
      </c>
      <c r="B132" t="s">
        <v>275</v>
      </c>
      <c r="C132" t="s">
        <v>8</v>
      </c>
      <c r="D132" t="s">
        <v>16</v>
      </c>
      <c r="E132">
        <v>4671.5</v>
      </c>
      <c r="F132" s="1">
        <v>45057</v>
      </c>
      <c r="G132" t="str">
        <f>_xlfn.XLOOKUP(B132,[1]appointments!$A$1:$A$201,[1]appointments!$B$1:$B$201, ,0)</f>
        <v>P049</v>
      </c>
      <c r="H132" t="str">
        <f>_xlfn.XLOOKUP(G132,[2]patients!$A$1:$A$51,[2]patients!$B$1:$B$51, ,0)</f>
        <v>David</v>
      </c>
      <c r="I132" t="str">
        <f>_xlfn.XLOOKUP(G132,[2]patients!$A$1:$A$51,[2]patients!$C$1:$C$51, ,0)</f>
        <v>Moore</v>
      </c>
      <c r="J132" t="str">
        <f>_xlfn.XLOOKUP(G132,[2]patients!$A$1:$A$51,[2]patients!$D$1:$D$51, ,0)</f>
        <v>M</v>
      </c>
      <c r="K132" t="str">
        <f>_xlfn.XLOOKUP(G132,[2]patients!$A$1:$A$51,[2]patients!$I$1:$I$51, ,0)</f>
        <v>MedCare Plus</v>
      </c>
      <c r="L132" t="str">
        <f>_xlfn.XLOOKUP(G132,[1]appointments!$B$1:$B$201,[1]appointments!$A$1:$A$201, ,0)</f>
        <v>A024</v>
      </c>
      <c r="M132" t="str">
        <f>_xlfn.XLOOKUP(G132,[1]appointments!$B$1:$B$201,[1]appointments!$F$1:$F$201, ,0)</f>
        <v>Checkup</v>
      </c>
      <c r="N132" t="str">
        <f>_xlfn.XLOOKUP(P132,[3]doctors!$A$1:$A$11,[3]doctors!$B$1:$B$11, ,0)</f>
        <v>Linda</v>
      </c>
      <c r="O132" t="str">
        <f>_xlfn.XLOOKUP(P132,[3]doctors!$A$1:$A$11,[3]doctors!$C$1:$C$11, ,0)</f>
        <v>Brown</v>
      </c>
      <c r="P132" t="str">
        <f>_xlfn.XLOOKUP(G132,[1]appointments!$B$1:$B$201,[1]appointments!$C$1:$C$201, ,0)</f>
        <v>D008</v>
      </c>
      <c r="Q132" t="str">
        <f>_xlfn.XLOOKUP(P132,[3]doctors!$A$1:$A$11,[3]doctors!$D$1:$D$11, ,0)</f>
        <v>Dermatology</v>
      </c>
      <c r="R132" t="str">
        <f>_xlfn.XLOOKUP(G132,[1]appointments!$B$1:$B$201,[1]appointments!$G$1:$G$201, ,0)</f>
        <v>Completed</v>
      </c>
      <c r="S132" s="1">
        <f>_xlfn.XLOOKUP(management_table[[#This Row],[ Patient Id]],[1]appointments!$B$1:$B$201,[1]appointments!$D$1:$D$201, ,0)</f>
        <v>45098</v>
      </c>
    </row>
    <row r="133" spans="1:19" x14ac:dyDescent="0.35">
      <c r="A133" t="s">
        <v>276</v>
      </c>
      <c r="B133" t="s">
        <v>277</v>
      </c>
      <c r="C133" t="s">
        <v>28</v>
      </c>
      <c r="D133" t="s">
        <v>16</v>
      </c>
      <c r="E133">
        <v>2929.81</v>
      </c>
      <c r="F133" s="1">
        <v>45133</v>
      </c>
      <c r="G133" t="str">
        <f>_xlfn.XLOOKUP(B133,[1]appointments!$A$1:$A$201,[1]appointments!$B$1:$B$201, ,0)</f>
        <v>P020</v>
      </c>
      <c r="H133" t="str">
        <f>_xlfn.XLOOKUP(G133,[2]patients!$A$1:$A$51,[2]patients!$B$1:$B$51, ,0)</f>
        <v>Jane</v>
      </c>
      <c r="I133" t="str">
        <f>_xlfn.XLOOKUP(G133,[2]patients!$A$1:$A$51,[2]patients!$C$1:$C$51, ,0)</f>
        <v>Moore</v>
      </c>
      <c r="J133" t="str">
        <f>_xlfn.XLOOKUP(G133,[2]patients!$A$1:$A$51,[2]patients!$D$1:$D$51, ,0)</f>
        <v>F</v>
      </c>
      <c r="K133" t="str">
        <f>_xlfn.XLOOKUP(G133,[2]patients!$A$1:$A$51,[2]patients!$I$1:$I$51, ,0)</f>
        <v>MedCare Plus</v>
      </c>
      <c r="L133" t="str">
        <f>_xlfn.XLOOKUP(G133,[1]appointments!$B$1:$B$201,[1]appointments!$A$1:$A$201, ,0)</f>
        <v>A060</v>
      </c>
      <c r="M133" t="str">
        <f>_xlfn.XLOOKUP(G133,[1]appointments!$B$1:$B$201,[1]appointments!$F$1:$F$201, ,0)</f>
        <v>Checkup</v>
      </c>
      <c r="N133" t="str">
        <f>_xlfn.XLOOKUP(P133,[3]doctors!$A$1:$A$11,[3]doctors!$B$1:$B$11, ,0)</f>
        <v>Jane</v>
      </c>
      <c r="O133" t="str">
        <f>_xlfn.XLOOKUP(P133,[3]doctors!$A$1:$A$11,[3]doctors!$C$1:$C$11, ,0)</f>
        <v>Davis</v>
      </c>
      <c r="P133" t="str">
        <f>_xlfn.XLOOKUP(G133,[1]appointments!$B$1:$B$201,[1]appointments!$C$1:$C$201, ,0)</f>
        <v>D002</v>
      </c>
      <c r="Q133" t="str">
        <f>_xlfn.XLOOKUP(P133,[3]doctors!$A$1:$A$11,[3]doctors!$D$1:$D$11, ,0)</f>
        <v>Pediatrics</v>
      </c>
      <c r="R133" t="str">
        <f>_xlfn.XLOOKUP(G133,[1]appointments!$B$1:$B$201,[1]appointments!$G$1:$G$201, ,0)</f>
        <v>No-show</v>
      </c>
      <c r="S133" s="1">
        <f>_xlfn.XLOOKUP(management_table[[#This Row],[ Patient Id]],[1]appointments!$B$1:$B$201,[1]appointments!$D$1:$D$201, ,0)</f>
        <v>45252</v>
      </c>
    </row>
    <row r="134" spans="1:19" x14ac:dyDescent="0.35">
      <c r="A134" t="s">
        <v>278</v>
      </c>
      <c r="B134" t="s">
        <v>279</v>
      </c>
      <c r="C134" t="s">
        <v>28</v>
      </c>
      <c r="D134" t="s">
        <v>16</v>
      </c>
      <c r="E134">
        <v>4289.1499999999996</v>
      </c>
      <c r="F134" s="1">
        <v>45008</v>
      </c>
      <c r="G134" t="str">
        <f>_xlfn.XLOOKUP(B134,[1]appointments!$A$1:$A$201,[1]appointments!$B$1:$B$201, ,0)</f>
        <v>P048</v>
      </c>
      <c r="H134" t="str">
        <f>_xlfn.XLOOKUP(G134,[2]patients!$A$1:$A$51,[2]patients!$B$1:$B$51, ,0)</f>
        <v>Emily</v>
      </c>
      <c r="I134" t="str">
        <f>_xlfn.XLOOKUP(G134,[2]patients!$A$1:$A$51,[2]patients!$C$1:$C$51, ,0)</f>
        <v>Miller</v>
      </c>
      <c r="J134" t="str">
        <f>_xlfn.XLOOKUP(G134,[2]patients!$A$1:$A$51,[2]patients!$D$1:$D$51, ,0)</f>
        <v>M</v>
      </c>
      <c r="K134" t="str">
        <f>_xlfn.XLOOKUP(G134,[2]patients!$A$1:$A$51,[2]patients!$I$1:$I$51, ,0)</f>
        <v>PulseSecure</v>
      </c>
      <c r="L134" t="str">
        <f>_xlfn.XLOOKUP(G134,[1]appointments!$B$1:$B$201,[1]appointments!$A$1:$A$201, ,0)</f>
        <v>A003</v>
      </c>
      <c r="M134" t="str">
        <f>_xlfn.XLOOKUP(G134,[1]appointments!$B$1:$B$201,[1]appointments!$F$1:$F$201, ,0)</f>
        <v>Consultation</v>
      </c>
      <c r="N134" t="str">
        <f>_xlfn.XLOOKUP(P134,[3]doctors!$A$1:$A$11,[3]doctors!$B$1:$B$11, ,0)</f>
        <v>David</v>
      </c>
      <c r="O134" t="str">
        <f>_xlfn.XLOOKUP(P134,[3]doctors!$A$1:$A$11,[3]doctors!$C$1:$C$11, ,0)</f>
        <v>Jones</v>
      </c>
      <c r="P134" t="str">
        <f>_xlfn.XLOOKUP(G134,[1]appointments!$B$1:$B$201,[1]appointments!$C$1:$C$201, ,0)</f>
        <v>D004</v>
      </c>
      <c r="Q134" t="str">
        <f>_xlfn.XLOOKUP(P134,[3]doctors!$A$1:$A$11,[3]doctors!$D$1:$D$11, ,0)</f>
        <v>Pediatrics</v>
      </c>
      <c r="R134" t="str">
        <f>_xlfn.XLOOKUP(G134,[1]appointments!$B$1:$B$201,[1]appointments!$G$1:$G$201, ,0)</f>
        <v>Cancelled</v>
      </c>
      <c r="S134" s="1">
        <f>_xlfn.XLOOKUP(management_table[[#This Row],[ Patient Id]],[1]appointments!$B$1:$B$201,[1]appointments!$D$1:$D$201, ,0)</f>
        <v>45105</v>
      </c>
    </row>
    <row r="135" spans="1:19" x14ac:dyDescent="0.35">
      <c r="A135" t="s">
        <v>280</v>
      </c>
      <c r="B135" t="s">
        <v>281</v>
      </c>
      <c r="C135" t="s">
        <v>28</v>
      </c>
      <c r="D135" t="s">
        <v>16</v>
      </c>
      <c r="E135">
        <v>2844.31</v>
      </c>
      <c r="F135" s="1">
        <v>45216</v>
      </c>
      <c r="G135" t="str">
        <f>_xlfn.XLOOKUP(B135,[1]appointments!$A$1:$A$201,[1]appointments!$B$1:$B$201, ,0)</f>
        <v>P025</v>
      </c>
      <c r="H135" t="str">
        <f>_xlfn.XLOOKUP(G135,[2]patients!$A$1:$A$51,[2]patients!$B$1:$B$51, ,0)</f>
        <v>Robert</v>
      </c>
      <c r="I135" t="str">
        <f>_xlfn.XLOOKUP(G135,[2]patients!$A$1:$A$51,[2]patients!$C$1:$C$51, ,0)</f>
        <v>Wilson</v>
      </c>
      <c r="J135" t="str">
        <f>_xlfn.XLOOKUP(G135,[2]patients!$A$1:$A$51,[2]patients!$D$1:$D$51, ,0)</f>
        <v>M</v>
      </c>
      <c r="K135" t="str">
        <f>_xlfn.XLOOKUP(G135,[2]patients!$A$1:$A$51,[2]patients!$I$1:$I$51, ,0)</f>
        <v>HealthIndia</v>
      </c>
      <c r="L135" t="str">
        <f>_xlfn.XLOOKUP(G135,[1]appointments!$B$1:$B$201,[1]appointments!$A$1:$A$201, ,0)</f>
        <v>A004</v>
      </c>
      <c r="M135" t="str">
        <f>_xlfn.XLOOKUP(G135,[1]appointments!$B$1:$B$201,[1]appointments!$F$1:$F$201, ,0)</f>
        <v>Consultation</v>
      </c>
      <c r="N135" t="str">
        <f>_xlfn.XLOOKUP(P135,[3]doctors!$A$1:$A$11,[3]doctors!$B$1:$B$11, ,0)</f>
        <v>Alex</v>
      </c>
      <c r="O135" t="str">
        <f>_xlfn.XLOOKUP(P135,[3]doctors!$A$1:$A$11,[3]doctors!$C$1:$C$11, ,0)</f>
        <v>Davis</v>
      </c>
      <c r="P135" t="str">
        <f>_xlfn.XLOOKUP(G135,[1]appointments!$B$1:$B$201,[1]appointments!$C$1:$C$201, ,0)</f>
        <v>D006</v>
      </c>
      <c r="Q135" t="str">
        <f>_xlfn.XLOOKUP(P135,[3]doctors!$A$1:$A$11,[3]doctors!$D$1:$D$11, ,0)</f>
        <v>Pediatrics</v>
      </c>
      <c r="R135" t="str">
        <f>_xlfn.XLOOKUP(G135,[1]appointments!$B$1:$B$201,[1]appointments!$G$1:$G$201, ,0)</f>
        <v>Cancelled</v>
      </c>
      <c r="S135" s="1">
        <f>_xlfn.XLOOKUP(management_table[[#This Row],[ Patient Id]],[1]appointments!$B$1:$B$201,[1]appointments!$D$1:$D$201, ,0)</f>
        <v>45170</v>
      </c>
    </row>
    <row r="136" spans="1:19" x14ac:dyDescent="0.35">
      <c r="A136" t="s">
        <v>282</v>
      </c>
      <c r="B136" t="s">
        <v>283</v>
      </c>
      <c r="C136" t="s">
        <v>12</v>
      </c>
      <c r="D136" t="s">
        <v>16</v>
      </c>
      <c r="E136">
        <v>3306.14</v>
      </c>
      <c r="F136" s="1">
        <v>45178</v>
      </c>
      <c r="G136" t="str">
        <f>_xlfn.XLOOKUP(B136,[1]appointments!$A$1:$A$201,[1]appointments!$B$1:$B$201, ,0)</f>
        <v>P022</v>
      </c>
      <c r="H136" t="str">
        <f>_xlfn.XLOOKUP(G136,[2]patients!$A$1:$A$51,[2]patients!$B$1:$B$51, ,0)</f>
        <v>John</v>
      </c>
      <c r="I136" t="str">
        <f>_xlfn.XLOOKUP(G136,[2]patients!$A$1:$A$51,[2]patients!$C$1:$C$51, ,0)</f>
        <v>Brown</v>
      </c>
      <c r="J136" t="str">
        <f>_xlfn.XLOOKUP(G136,[2]patients!$A$1:$A$51,[2]patients!$D$1:$D$51, ,0)</f>
        <v>M</v>
      </c>
      <c r="K136" t="str">
        <f>_xlfn.XLOOKUP(G136,[2]patients!$A$1:$A$51,[2]patients!$I$1:$I$51, ,0)</f>
        <v>MedCare Plus</v>
      </c>
      <c r="L136" t="str">
        <f>_xlfn.XLOOKUP(G136,[1]appointments!$B$1:$B$201,[1]appointments!$A$1:$A$201, ,0)</f>
        <v>A011</v>
      </c>
      <c r="M136" t="str">
        <f>_xlfn.XLOOKUP(G136,[1]appointments!$B$1:$B$201,[1]appointments!$F$1:$F$201, ,0)</f>
        <v>Checkup</v>
      </c>
      <c r="N136" t="str">
        <f>_xlfn.XLOOKUP(P136,[3]doctors!$A$1:$A$11,[3]doctors!$B$1:$B$11, ,0)</f>
        <v>Robert</v>
      </c>
      <c r="O136" t="str">
        <f>_xlfn.XLOOKUP(P136,[3]doctors!$A$1:$A$11,[3]doctors!$C$1:$C$11, ,0)</f>
        <v>Davis</v>
      </c>
      <c r="P136" t="str">
        <f>_xlfn.XLOOKUP(G136,[1]appointments!$B$1:$B$201,[1]appointments!$C$1:$C$201, ,0)</f>
        <v>D007</v>
      </c>
      <c r="Q136" t="str">
        <f>_xlfn.XLOOKUP(P136,[3]doctors!$A$1:$A$11,[3]doctors!$D$1:$D$11, ,0)</f>
        <v>Oncology</v>
      </c>
      <c r="R136" t="str">
        <f>_xlfn.XLOOKUP(G136,[1]appointments!$B$1:$B$201,[1]appointments!$G$1:$G$201, ,0)</f>
        <v>No-show</v>
      </c>
      <c r="S136" s="1">
        <f>_xlfn.XLOOKUP(management_table[[#This Row],[ Patient Id]],[1]appointments!$B$1:$B$201,[1]appointments!$D$1:$D$201, ,0)</f>
        <v>45242</v>
      </c>
    </row>
    <row r="137" spans="1:19" x14ac:dyDescent="0.35">
      <c r="A137" t="s">
        <v>284</v>
      </c>
      <c r="B137" t="s">
        <v>285</v>
      </c>
      <c r="C137" t="s">
        <v>8</v>
      </c>
      <c r="D137" t="s">
        <v>16</v>
      </c>
      <c r="E137">
        <v>901.06</v>
      </c>
      <c r="F137" s="1">
        <v>45059</v>
      </c>
      <c r="G137" t="str">
        <f>_xlfn.XLOOKUP(B137,[1]appointments!$A$1:$A$201,[1]appointments!$B$1:$B$201, ,0)</f>
        <v>P013</v>
      </c>
      <c r="H137" t="str">
        <f>_xlfn.XLOOKUP(G137,[2]patients!$A$1:$A$51,[2]patients!$B$1:$B$51, ,0)</f>
        <v>Laura</v>
      </c>
      <c r="I137" t="str">
        <f>_xlfn.XLOOKUP(G137,[2]patients!$A$1:$A$51,[2]patients!$C$1:$C$51, ,0)</f>
        <v>Johnson</v>
      </c>
      <c r="J137" t="str">
        <f>_xlfn.XLOOKUP(G137,[2]patients!$A$1:$A$51,[2]patients!$D$1:$D$51, ,0)</f>
        <v>F</v>
      </c>
      <c r="K137" t="str">
        <f>_xlfn.XLOOKUP(G137,[2]patients!$A$1:$A$51,[2]patients!$I$1:$I$51, ,0)</f>
        <v>WellnessCorp</v>
      </c>
      <c r="L137" t="str">
        <f>_xlfn.XLOOKUP(G137,[1]appointments!$B$1:$B$201,[1]appointments!$A$1:$A$201, ,0)</f>
        <v>A078</v>
      </c>
      <c r="M137" t="str">
        <f>_xlfn.XLOOKUP(G137,[1]appointments!$B$1:$B$201,[1]appointments!$F$1:$F$201, ,0)</f>
        <v>Consultation</v>
      </c>
      <c r="N137" t="str">
        <f>_xlfn.XLOOKUP(P137,[3]doctors!$A$1:$A$11,[3]doctors!$B$1:$B$11, ,0)</f>
        <v>Linda</v>
      </c>
      <c r="O137" t="str">
        <f>_xlfn.XLOOKUP(P137,[3]doctors!$A$1:$A$11,[3]doctors!$C$1:$C$11, ,0)</f>
        <v>Brown</v>
      </c>
      <c r="P137" t="str">
        <f>_xlfn.XLOOKUP(G137,[1]appointments!$B$1:$B$201,[1]appointments!$C$1:$C$201, ,0)</f>
        <v>D008</v>
      </c>
      <c r="Q137" t="str">
        <f>_xlfn.XLOOKUP(P137,[3]doctors!$A$1:$A$11,[3]doctors!$D$1:$D$11, ,0)</f>
        <v>Dermatology</v>
      </c>
      <c r="R137" t="str">
        <f>_xlfn.XLOOKUP(G137,[1]appointments!$B$1:$B$201,[1]appointments!$G$1:$G$201, ,0)</f>
        <v>No-show</v>
      </c>
      <c r="S137" s="1">
        <f>_xlfn.XLOOKUP(management_table[[#This Row],[ Patient Id]],[1]appointments!$B$1:$B$201,[1]appointments!$D$1:$D$201, ,0)</f>
        <v>45186</v>
      </c>
    </row>
    <row r="138" spans="1:19" x14ac:dyDescent="0.35">
      <c r="A138" t="s">
        <v>286</v>
      </c>
      <c r="B138" t="s">
        <v>287</v>
      </c>
      <c r="C138" t="s">
        <v>51</v>
      </c>
      <c r="D138" t="s">
        <v>16</v>
      </c>
      <c r="E138">
        <v>3898.72</v>
      </c>
      <c r="F138" s="1">
        <v>45224</v>
      </c>
      <c r="G138" t="str">
        <f>_xlfn.XLOOKUP(B138,[1]appointments!$A$1:$A$201,[1]appointments!$B$1:$B$201, ,0)</f>
        <v>P019</v>
      </c>
      <c r="H138" t="str">
        <f>_xlfn.XLOOKUP(G138,[2]patients!$A$1:$A$51,[2]patients!$B$1:$B$51, ,0)</f>
        <v>Sarah</v>
      </c>
      <c r="I138" t="str">
        <f>_xlfn.XLOOKUP(G138,[2]patients!$A$1:$A$51,[2]patients!$C$1:$C$51, ,0)</f>
        <v>Miller</v>
      </c>
      <c r="J138" t="str">
        <f>_xlfn.XLOOKUP(G138,[2]patients!$A$1:$A$51,[2]patients!$D$1:$D$51, ,0)</f>
        <v>M</v>
      </c>
      <c r="K138" t="str">
        <f>_xlfn.XLOOKUP(G138,[2]patients!$A$1:$A$51,[2]patients!$I$1:$I$51, ,0)</f>
        <v>WellnessCorp</v>
      </c>
      <c r="L138" t="str">
        <f>_xlfn.XLOOKUP(G138,[1]appointments!$B$1:$B$201,[1]appointments!$A$1:$A$201, ,0)</f>
        <v>A046</v>
      </c>
      <c r="M138" t="str">
        <f>_xlfn.XLOOKUP(G138,[1]appointments!$B$1:$B$201,[1]appointments!$F$1:$F$201, ,0)</f>
        <v>Consultation</v>
      </c>
      <c r="N138" t="str">
        <f>_xlfn.XLOOKUP(P138,[3]doctors!$A$1:$A$11,[3]doctors!$B$1:$B$11, ,0)</f>
        <v>Jane</v>
      </c>
      <c r="O138" t="str">
        <f>_xlfn.XLOOKUP(P138,[3]doctors!$A$1:$A$11,[3]doctors!$C$1:$C$11, ,0)</f>
        <v>Smith</v>
      </c>
      <c r="P138" t="str">
        <f>_xlfn.XLOOKUP(G138,[1]appointments!$B$1:$B$201,[1]appointments!$C$1:$C$201, ,0)</f>
        <v>D003</v>
      </c>
      <c r="Q138" t="str">
        <f>_xlfn.XLOOKUP(P138,[3]doctors!$A$1:$A$11,[3]doctors!$D$1:$D$11, ,0)</f>
        <v>Pediatrics</v>
      </c>
      <c r="R138" t="str">
        <f>_xlfn.XLOOKUP(G138,[1]appointments!$B$1:$B$201,[1]appointments!$G$1:$G$201, ,0)</f>
        <v>Cancelled</v>
      </c>
      <c r="S138" s="1">
        <f>_xlfn.XLOOKUP(management_table[[#This Row],[ Patient Id]],[1]appointments!$B$1:$B$201,[1]appointments!$D$1:$D$201, ,0)</f>
        <v>45280</v>
      </c>
    </row>
    <row r="139" spans="1:19" x14ac:dyDescent="0.35">
      <c r="A139" t="s">
        <v>288</v>
      </c>
      <c r="B139" t="s">
        <v>289</v>
      </c>
      <c r="C139" t="s">
        <v>51</v>
      </c>
      <c r="D139" t="s">
        <v>16</v>
      </c>
      <c r="E139">
        <v>1074.71</v>
      </c>
      <c r="F139" s="1">
        <v>45286</v>
      </c>
      <c r="G139" t="str">
        <f>_xlfn.XLOOKUP(B139,[1]appointments!$A$1:$A$201,[1]appointments!$B$1:$B$201, ,0)</f>
        <v>P049</v>
      </c>
      <c r="H139" t="str">
        <f>_xlfn.XLOOKUP(G139,[2]patients!$A$1:$A$51,[2]patients!$B$1:$B$51, ,0)</f>
        <v>David</v>
      </c>
      <c r="I139" t="str">
        <f>_xlfn.XLOOKUP(G139,[2]patients!$A$1:$A$51,[2]patients!$C$1:$C$51, ,0)</f>
        <v>Moore</v>
      </c>
      <c r="J139" t="str">
        <f>_xlfn.XLOOKUP(G139,[2]patients!$A$1:$A$51,[2]patients!$D$1:$D$51, ,0)</f>
        <v>M</v>
      </c>
      <c r="K139" t="str">
        <f>_xlfn.XLOOKUP(G139,[2]patients!$A$1:$A$51,[2]patients!$I$1:$I$51, ,0)</f>
        <v>MedCare Plus</v>
      </c>
      <c r="L139" t="str">
        <f>_xlfn.XLOOKUP(G139,[1]appointments!$B$1:$B$201,[1]appointments!$A$1:$A$201, ,0)</f>
        <v>A024</v>
      </c>
      <c r="M139" t="str">
        <f>_xlfn.XLOOKUP(G139,[1]appointments!$B$1:$B$201,[1]appointments!$F$1:$F$201, ,0)</f>
        <v>Checkup</v>
      </c>
      <c r="N139" t="str">
        <f>_xlfn.XLOOKUP(P139,[3]doctors!$A$1:$A$11,[3]doctors!$B$1:$B$11, ,0)</f>
        <v>Linda</v>
      </c>
      <c r="O139" t="str">
        <f>_xlfn.XLOOKUP(P139,[3]doctors!$A$1:$A$11,[3]doctors!$C$1:$C$11, ,0)</f>
        <v>Brown</v>
      </c>
      <c r="P139" t="str">
        <f>_xlfn.XLOOKUP(G139,[1]appointments!$B$1:$B$201,[1]appointments!$C$1:$C$201, ,0)</f>
        <v>D008</v>
      </c>
      <c r="Q139" t="str">
        <f>_xlfn.XLOOKUP(P139,[3]doctors!$A$1:$A$11,[3]doctors!$D$1:$D$11, ,0)</f>
        <v>Dermatology</v>
      </c>
      <c r="R139" t="str">
        <f>_xlfn.XLOOKUP(G139,[1]appointments!$B$1:$B$201,[1]appointments!$G$1:$G$201, ,0)</f>
        <v>Completed</v>
      </c>
      <c r="S139" s="1">
        <f>_xlfn.XLOOKUP(management_table[[#This Row],[ Patient Id]],[1]appointments!$B$1:$B$201,[1]appointments!$D$1:$D$201, ,0)</f>
        <v>45098</v>
      </c>
    </row>
    <row r="140" spans="1:19" x14ac:dyDescent="0.35">
      <c r="A140" t="s">
        <v>290</v>
      </c>
      <c r="B140" t="s">
        <v>291</v>
      </c>
      <c r="C140" t="s">
        <v>12</v>
      </c>
      <c r="D140" t="s">
        <v>9</v>
      </c>
      <c r="E140">
        <v>4217.3</v>
      </c>
      <c r="F140" s="1">
        <v>45209</v>
      </c>
      <c r="G140" t="str">
        <f>_xlfn.XLOOKUP(B140,[1]appointments!$A$1:$A$201,[1]appointments!$B$1:$B$201, ,0)</f>
        <v>P036</v>
      </c>
      <c r="H140" t="str">
        <f>_xlfn.XLOOKUP(G140,[2]patients!$A$1:$A$51,[2]patients!$B$1:$B$51, ,0)</f>
        <v>Michael</v>
      </c>
      <c r="I140" t="str">
        <f>_xlfn.XLOOKUP(G140,[2]patients!$A$1:$A$51,[2]patients!$C$1:$C$51, ,0)</f>
        <v>Wilson</v>
      </c>
      <c r="J140" t="str">
        <f>_xlfn.XLOOKUP(G140,[2]patients!$A$1:$A$51,[2]patients!$D$1:$D$51, ,0)</f>
        <v>M</v>
      </c>
      <c r="K140" t="str">
        <f>_xlfn.XLOOKUP(G140,[2]patients!$A$1:$A$51,[2]patients!$I$1:$I$51, ,0)</f>
        <v>MedCare Plus</v>
      </c>
      <c r="L140" t="str">
        <f>_xlfn.XLOOKUP(G140,[1]appointments!$B$1:$B$201,[1]appointments!$A$1:$A$201, ,0)</f>
        <v>A035</v>
      </c>
      <c r="M140" t="str">
        <f>_xlfn.XLOOKUP(G140,[1]appointments!$B$1:$B$201,[1]appointments!$F$1:$F$201, ,0)</f>
        <v>Follow-up</v>
      </c>
      <c r="N140" t="str">
        <f>_xlfn.XLOOKUP(P140,[3]doctors!$A$1:$A$11,[3]doctors!$B$1:$B$11, ,0)</f>
        <v>Jane</v>
      </c>
      <c r="O140" t="str">
        <f>_xlfn.XLOOKUP(P140,[3]doctors!$A$1:$A$11,[3]doctors!$C$1:$C$11, ,0)</f>
        <v>Smith</v>
      </c>
      <c r="P140" t="str">
        <f>_xlfn.XLOOKUP(G140,[1]appointments!$B$1:$B$201,[1]appointments!$C$1:$C$201, ,0)</f>
        <v>D003</v>
      </c>
      <c r="Q140" t="str">
        <f>_xlfn.XLOOKUP(P140,[3]doctors!$A$1:$A$11,[3]doctors!$D$1:$D$11, ,0)</f>
        <v>Pediatrics</v>
      </c>
      <c r="R140" t="str">
        <f>_xlfn.XLOOKUP(G140,[1]appointments!$B$1:$B$201,[1]appointments!$G$1:$G$201, ,0)</f>
        <v>Scheduled</v>
      </c>
      <c r="S140" s="1">
        <f>_xlfn.XLOOKUP(management_table[[#This Row],[ Patient Id]],[1]appointments!$B$1:$B$201,[1]appointments!$D$1:$D$201, ,0)</f>
        <v>45034</v>
      </c>
    </row>
    <row r="141" spans="1:19" x14ac:dyDescent="0.35">
      <c r="A141" t="s">
        <v>292</v>
      </c>
      <c r="B141" t="s">
        <v>293</v>
      </c>
      <c r="C141" t="s">
        <v>28</v>
      </c>
      <c r="D141" t="s">
        <v>16</v>
      </c>
      <c r="E141">
        <v>4019.13</v>
      </c>
      <c r="F141" s="1">
        <v>44962</v>
      </c>
      <c r="G141" t="str">
        <f>_xlfn.XLOOKUP(B141,[1]appointments!$A$1:$A$201,[1]appointments!$B$1:$B$201, ,0)</f>
        <v>P012</v>
      </c>
      <c r="H141" t="str">
        <f>_xlfn.XLOOKUP(G141,[2]patients!$A$1:$A$51,[2]patients!$B$1:$B$51, ,0)</f>
        <v>Laura</v>
      </c>
      <c r="I141" t="str">
        <f>_xlfn.XLOOKUP(G141,[2]patients!$A$1:$A$51,[2]patients!$C$1:$C$51, ,0)</f>
        <v>Davis</v>
      </c>
      <c r="J141" t="str">
        <f>_xlfn.XLOOKUP(G141,[2]patients!$A$1:$A$51,[2]patients!$D$1:$D$51, ,0)</f>
        <v>F</v>
      </c>
      <c r="K141" t="str">
        <f>_xlfn.XLOOKUP(G141,[2]patients!$A$1:$A$51,[2]patients!$I$1:$I$51, ,0)</f>
        <v>MedCare Plus</v>
      </c>
      <c r="L141" t="str">
        <f>_xlfn.XLOOKUP(G141,[1]appointments!$B$1:$B$201,[1]appointments!$A$1:$A$201, ,0)</f>
        <v>A014</v>
      </c>
      <c r="M141" t="str">
        <f>_xlfn.XLOOKUP(G141,[1]appointments!$B$1:$B$201,[1]appointments!$F$1:$F$201, ,0)</f>
        <v>Emergency</v>
      </c>
      <c r="N141" t="str">
        <f>_xlfn.XLOOKUP(P141,[3]doctors!$A$1:$A$11,[3]doctors!$B$1:$B$11, ,0)</f>
        <v>Linda</v>
      </c>
      <c r="O141" t="str">
        <f>_xlfn.XLOOKUP(P141,[3]doctors!$A$1:$A$11,[3]doctors!$C$1:$C$11, ,0)</f>
        <v>Wilson</v>
      </c>
      <c r="P141" t="str">
        <f>_xlfn.XLOOKUP(G141,[1]appointments!$B$1:$B$201,[1]appointments!$C$1:$C$201, ,0)</f>
        <v>D010</v>
      </c>
      <c r="Q141" t="str">
        <f>_xlfn.XLOOKUP(P141,[3]doctors!$A$1:$A$11,[3]doctors!$D$1:$D$11, ,0)</f>
        <v>Oncology</v>
      </c>
      <c r="R141" t="str">
        <f>_xlfn.XLOOKUP(G141,[1]appointments!$B$1:$B$201,[1]appointments!$G$1:$G$201, ,0)</f>
        <v>Cancelled</v>
      </c>
      <c r="S141" s="1">
        <f>_xlfn.XLOOKUP(management_table[[#This Row],[ Patient Id]],[1]appointments!$B$1:$B$201,[1]appointments!$D$1:$D$201, ,0)</f>
        <v>45071</v>
      </c>
    </row>
    <row r="142" spans="1:19" x14ac:dyDescent="0.35">
      <c r="A142" t="s">
        <v>294</v>
      </c>
      <c r="B142" t="s">
        <v>295</v>
      </c>
      <c r="C142" t="s">
        <v>21</v>
      </c>
      <c r="D142" t="s">
        <v>9</v>
      </c>
      <c r="E142">
        <v>3689.35</v>
      </c>
      <c r="F142" s="1">
        <v>45092</v>
      </c>
      <c r="G142" t="str">
        <f>_xlfn.XLOOKUP(B142,[1]appointments!$A$1:$A$201,[1]appointments!$B$1:$B$201, ,0)</f>
        <v>P041</v>
      </c>
      <c r="H142" t="str">
        <f>_xlfn.XLOOKUP(G142,[2]patients!$A$1:$A$51,[2]patients!$B$1:$B$51, ,0)</f>
        <v>Robert</v>
      </c>
      <c r="I142" t="str">
        <f>_xlfn.XLOOKUP(G142,[2]patients!$A$1:$A$51,[2]patients!$C$1:$C$51, ,0)</f>
        <v>Williams</v>
      </c>
      <c r="J142" t="str">
        <f>_xlfn.XLOOKUP(G142,[2]patients!$A$1:$A$51,[2]patients!$D$1:$D$51, ,0)</f>
        <v>M</v>
      </c>
      <c r="K142" t="str">
        <f>_xlfn.XLOOKUP(G142,[2]patients!$A$1:$A$51,[2]patients!$I$1:$I$51, ,0)</f>
        <v>WellnessCorp</v>
      </c>
      <c r="L142" t="str">
        <f>_xlfn.XLOOKUP(G142,[1]appointments!$B$1:$B$201,[1]appointments!$A$1:$A$201, ,0)</f>
        <v>A094</v>
      </c>
      <c r="M142" t="str">
        <f>_xlfn.XLOOKUP(G142,[1]appointments!$B$1:$B$201,[1]appointments!$F$1:$F$201, ,0)</f>
        <v>Consultation</v>
      </c>
      <c r="N142" t="str">
        <f>_xlfn.XLOOKUP(P142,[3]doctors!$A$1:$A$11,[3]doctors!$B$1:$B$11, ,0)</f>
        <v>Jane</v>
      </c>
      <c r="O142" t="str">
        <f>_xlfn.XLOOKUP(P142,[3]doctors!$A$1:$A$11,[3]doctors!$C$1:$C$11, ,0)</f>
        <v>Davis</v>
      </c>
      <c r="P142" t="str">
        <f>_xlfn.XLOOKUP(G142,[1]appointments!$B$1:$B$201,[1]appointments!$C$1:$C$201, ,0)</f>
        <v>D002</v>
      </c>
      <c r="Q142" t="str">
        <f>_xlfn.XLOOKUP(P142,[3]doctors!$A$1:$A$11,[3]doctors!$D$1:$D$11, ,0)</f>
        <v>Pediatrics</v>
      </c>
      <c r="R142" t="str">
        <f>_xlfn.XLOOKUP(G142,[1]appointments!$B$1:$B$201,[1]appointments!$G$1:$G$201, ,0)</f>
        <v>Cancelled</v>
      </c>
      <c r="S142" s="1">
        <f>_xlfn.XLOOKUP(management_table[[#This Row],[ Patient Id]],[1]appointments!$B$1:$B$201,[1]appointments!$D$1:$D$201, ,0)</f>
        <v>45024</v>
      </c>
    </row>
    <row r="143" spans="1:19" x14ac:dyDescent="0.35">
      <c r="A143" t="s">
        <v>296</v>
      </c>
      <c r="B143" t="s">
        <v>297</v>
      </c>
      <c r="C143" t="s">
        <v>12</v>
      </c>
      <c r="D143" t="s">
        <v>13</v>
      </c>
      <c r="E143">
        <v>662.72</v>
      </c>
      <c r="F143" s="1">
        <v>45231</v>
      </c>
      <c r="G143" t="str">
        <f>_xlfn.XLOOKUP(B143,[1]appointments!$A$1:$A$201,[1]appointments!$B$1:$B$201, ,0)</f>
        <v>P019</v>
      </c>
      <c r="H143" t="str">
        <f>_xlfn.XLOOKUP(G143,[2]patients!$A$1:$A$51,[2]patients!$B$1:$B$51, ,0)</f>
        <v>Sarah</v>
      </c>
      <c r="I143" t="str">
        <f>_xlfn.XLOOKUP(G143,[2]patients!$A$1:$A$51,[2]patients!$C$1:$C$51, ,0)</f>
        <v>Miller</v>
      </c>
      <c r="J143" t="str">
        <f>_xlfn.XLOOKUP(G143,[2]patients!$A$1:$A$51,[2]patients!$D$1:$D$51, ,0)</f>
        <v>M</v>
      </c>
      <c r="K143" t="str">
        <f>_xlfn.XLOOKUP(G143,[2]patients!$A$1:$A$51,[2]patients!$I$1:$I$51, ,0)</f>
        <v>WellnessCorp</v>
      </c>
      <c r="L143" t="str">
        <f>_xlfn.XLOOKUP(G143,[1]appointments!$B$1:$B$201,[1]appointments!$A$1:$A$201, ,0)</f>
        <v>A046</v>
      </c>
      <c r="M143" t="str">
        <f>_xlfn.XLOOKUP(G143,[1]appointments!$B$1:$B$201,[1]appointments!$F$1:$F$201, ,0)</f>
        <v>Consultation</v>
      </c>
      <c r="N143" t="str">
        <f>_xlfn.XLOOKUP(P143,[3]doctors!$A$1:$A$11,[3]doctors!$B$1:$B$11, ,0)</f>
        <v>Jane</v>
      </c>
      <c r="O143" t="str">
        <f>_xlfn.XLOOKUP(P143,[3]doctors!$A$1:$A$11,[3]doctors!$C$1:$C$11, ,0)</f>
        <v>Smith</v>
      </c>
      <c r="P143" t="str">
        <f>_xlfn.XLOOKUP(G143,[1]appointments!$B$1:$B$201,[1]appointments!$C$1:$C$201, ,0)</f>
        <v>D003</v>
      </c>
      <c r="Q143" t="str">
        <f>_xlfn.XLOOKUP(P143,[3]doctors!$A$1:$A$11,[3]doctors!$D$1:$D$11, ,0)</f>
        <v>Pediatrics</v>
      </c>
      <c r="R143" t="str">
        <f>_xlfn.XLOOKUP(G143,[1]appointments!$B$1:$B$201,[1]appointments!$G$1:$G$201, ,0)</f>
        <v>Cancelled</v>
      </c>
      <c r="S143" s="1">
        <f>_xlfn.XLOOKUP(management_table[[#This Row],[ Patient Id]],[1]appointments!$B$1:$B$201,[1]appointments!$D$1:$D$201, ,0)</f>
        <v>45280</v>
      </c>
    </row>
    <row r="144" spans="1:19" x14ac:dyDescent="0.35">
      <c r="A144" t="s">
        <v>298</v>
      </c>
      <c r="B144" t="s">
        <v>299</v>
      </c>
      <c r="C144" t="s">
        <v>12</v>
      </c>
      <c r="D144" t="s">
        <v>16</v>
      </c>
      <c r="E144">
        <v>1864.08</v>
      </c>
      <c r="F144" s="1">
        <v>45190</v>
      </c>
      <c r="G144" t="str">
        <f>_xlfn.XLOOKUP(B144,[1]appointments!$A$1:$A$201,[1]appointments!$B$1:$B$201, ,0)</f>
        <v>P012</v>
      </c>
      <c r="H144" t="str">
        <f>_xlfn.XLOOKUP(G144,[2]patients!$A$1:$A$51,[2]patients!$B$1:$B$51, ,0)</f>
        <v>Laura</v>
      </c>
      <c r="I144" t="str">
        <f>_xlfn.XLOOKUP(G144,[2]patients!$A$1:$A$51,[2]patients!$C$1:$C$51, ,0)</f>
        <v>Davis</v>
      </c>
      <c r="J144" t="str">
        <f>_xlfn.XLOOKUP(G144,[2]patients!$A$1:$A$51,[2]patients!$D$1:$D$51, ,0)</f>
        <v>F</v>
      </c>
      <c r="K144" t="str">
        <f>_xlfn.XLOOKUP(G144,[2]patients!$A$1:$A$51,[2]patients!$I$1:$I$51, ,0)</f>
        <v>MedCare Plus</v>
      </c>
      <c r="L144" t="str">
        <f>_xlfn.XLOOKUP(G144,[1]appointments!$B$1:$B$201,[1]appointments!$A$1:$A$201, ,0)</f>
        <v>A014</v>
      </c>
      <c r="M144" t="str">
        <f>_xlfn.XLOOKUP(G144,[1]appointments!$B$1:$B$201,[1]appointments!$F$1:$F$201, ,0)</f>
        <v>Emergency</v>
      </c>
      <c r="N144" t="str">
        <f>_xlfn.XLOOKUP(P144,[3]doctors!$A$1:$A$11,[3]doctors!$B$1:$B$11, ,0)</f>
        <v>Linda</v>
      </c>
      <c r="O144" t="str">
        <f>_xlfn.XLOOKUP(P144,[3]doctors!$A$1:$A$11,[3]doctors!$C$1:$C$11, ,0)</f>
        <v>Wilson</v>
      </c>
      <c r="P144" t="str">
        <f>_xlfn.XLOOKUP(G144,[1]appointments!$B$1:$B$201,[1]appointments!$C$1:$C$201, ,0)</f>
        <v>D010</v>
      </c>
      <c r="Q144" t="str">
        <f>_xlfn.XLOOKUP(P144,[3]doctors!$A$1:$A$11,[3]doctors!$D$1:$D$11, ,0)</f>
        <v>Oncology</v>
      </c>
      <c r="R144" t="str">
        <f>_xlfn.XLOOKUP(G144,[1]appointments!$B$1:$B$201,[1]appointments!$G$1:$G$201, ,0)</f>
        <v>Cancelled</v>
      </c>
      <c r="S144" s="1">
        <f>_xlfn.XLOOKUP(management_table[[#This Row],[ Patient Id]],[1]appointments!$B$1:$B$201,[1]appointments!$D$1:$D$201, ,0)</f>
        <v>45071</v>
      </c>
    </row>
    <row r="145" spans="1:19" x14ac:dyDescent="0.35">
      <c r="A145" t="s">
        <v>300</v>
      </c>
      <c r="B145" t="s">
        <v>301</v>
      </c>
      <c r="C145" t="s">
        <v>8</v>
      </c>
      <c r="D145" t="s">
        <v>13</v>
      </c>
      <c r="E145">
        <v>1684.01</v>
      </c>
      <c r="F145" s="1">
        <v>45154</v>
      </c>
      <c r="G145" t="str">
        <f>_xlfn.XLOOKUP(B145,[1]appointments!$A$1:$A$201,[1]appointments!$B$1:$B$201, ,0)</f>
        <v>P009</v>
      </c>
      <c r="H145" t="str">
        <f>_xlfn.XLOOKUP(G145,[2]patients!$A$1:$A$51,[2]patients!$B$1:$B$51, ,0)</f>
        <v>Laura</v>
      </c>
      <c r="I145" t="str">
        <f>_xlfn.XLOOKUP(G145,[2]patients!$A$1:$A$51,[2]patients!$C$1:$C$51, ,0)</f>
        <v>Davis</v>
      </c>
      <c r="J145" t="str">
        <f>_xlfn.XLOOKUP(G145,[2]patients!$A$1:$A$51,[2]patients!$D$1:$D$51, ,0)</f>
        <v>M</v>
      </c>
      <c r="K145" t="str">
        <f>_xlfn.XLOOKUP(G145,[2]patients!$A$1:$A$51,[2]patients!$I$1:$I$51, ,0)</f>
        <v>PulseSecure</v>
      </c>
      <c r="L145" t="str">
        <f>_xlfn.XLOOKUP(G145,[1]appointments!$B$1:$B$201,[1]appointments!$A$1:$A$201, ,0)</f>
        <v>A107</v>
      </c>
      <c r="M145" t="str">
        <f>_xlfn.XLOOKUP(G145,[1]appointments!$B$1:$B$201,[1]appointments!$F$1:$F$201, ,0)</f>
        <v>Follow-up</v>
      </c>
      <c r="N145" t="str">
        <f>_xlfn.XLOOKUP(P145,[3]doctors!$A$1:$A$11,[3]doctors!$B$1:$B$11, ,0)</f>
        <v>Robert</v>
      </c>
      <c r="O145" t="str">
        <f>_xlfn.XLOOKUP(P145,[3]doctors!$A$1:$A$11,[3]doctors!$C$1:$C$11, ,0)</f>
        <v>Davis</v>
      </c>
      <c r="P145" t="str">
        <f>_xlfn.XLOOKUP(G145,[1]appointments!$B$1:$B$201,[1]appointments!$C$1:$C$201, ,0)</f>
        <v>D007</v>
      </c>
      <c r="Q145" t="str">
        <f>_xlfn.XLOOKUP(P145,[3]doctors!$A$1:$A$11,[3]doctors!$D$1:$D$11, ,0)</f>
        <v>Oncology</v>
      </c>
      <c r="R145" t="str">
        <f>_xlfn.XLOOKUP(G145,[1]appointments!$B$1:$B$201,[1]appointments!$G$1:$G$201, ,0)</f>
        <v>Completed</v>
      </c>
      <c r="S145" s="1">
        <f>_xlfn.XLOOKUP(management_table[[#This Row],[ Patient Id]],[1]appointments!$B$1:$B$201,[1]appointments!$D$1:$D$201, ,0)</f>
        <v>45033</v>
      </c>
    </row>
    <row r="146" spans="1:19" x14ac:dyDescent="0.35">
      <c r="A146" t="s">
        <v>302</v>
      </c>
      <c r="B146" t="s">
        <v>303</v>
      </c>
      <c r="C146" t="s">
        <v>51</v>
      </c>
      <c r="D146" t="s">
        <v>13</v>
      </c>
      <c r="E146">
        <v>2120.61</v>
      </c>
      <c r="F146" s="1">
        <v>45241</v>
      </c>
      <c r="G146" t="str">
        <f>_xlfn.XLOOKUP(B146,[1]appointments!$A$1:$A$201,[1]appointments!$B$1:$B$201, ,0)</f>
        <v>P007</v>
      </c>
      <c r="H146" t="str">
        <f>_xlfn.XLOOKUP(G146,[2]patients!$A$1:$A$51,[2]patients!$B$1:$B$51, ,0)</f>
        <v>Alex</v>
      </c>
      <c r="I146" t="str">
        <f>_xlfn.XLOOKUP(G146,[2]patients!$A$1:$A$51,[2]patients!$C$1:$C$51, ,0)</f>
        <v>Johnson</v>
      </c>
      <c r="J146" t="str">
        <f>_xlfn.XLOOKUP(G146,[2]patients!$A$1:$A$51,[2]patients!$D$1:$D$51, ,0)</f>
        <v>F</v>
      </c>
      <c r="K146" t="str">
        <f>_xlfn.XLOOKUP(G146,[2]patients!$A$1:$A$51,[2]patients!$I$1:$I$51, ,0)</f>
        <v>MedCare Plus</v>
      </c>
      <c r="L146" t="str">
        <f>_xlfn.XLOOKUP(G146,[1]appointments!$B$1:$B$201,[1]appointments!$A$1:$A$201, ,0)</f>
        <v>A095</v>
      </c>
      <c r="M146" t="str">
        <f>_xlfn.XLOOKUP(G146,[1]appointments!$B$1:$B$201,[1]appointments!$F$1:$F$201, ,0)</f>
        <v>Therapy</v>
      </c>
      <c r="N146" t="str">
        <f>_xlfn.XLOOKUP(P146,[3]doctors!$A$1:$A$11,[3]doctors!$B$1:$B$11, ,0)</f>
        <v>Sarah</v>
      </c>
      <c r="O146" t="str">
        <f>_xlfn.XLOOKUP(P146,[3]doctors!$A$1:$A$11,[3]doctors!$C$1:$C$11, ,0)</f>
        <v>Smith</v>
      </c>
      <c r="P146" t="str">
        <f>_xlfn.XLOOKUP(G146,[1]appointments!$B$1:$B$201,[1]appointments!$C$1:$C$201, ,0)</f>
        <v>D009</v>
      </c>
      <c r="Q146" t="str">
        <f>_xlfn.XLOOKUP(P146,[3]doctors!$A$1:$A$11,[3]doctors!$D$1:$D$11, ,0)</f>
        <v>Pediatrics</v>
      </c>
      <c r="R146" t="str">
        <f>_xlfn.XLOOKUP(G146,[1]appointments!$B$1:$B$201,[1]appointments!$G$1:$G$201, ,0)</f>
        <v>Cancelled</v>
      </c>
      <c r="S146" s="1">
        <f>_xlfn.XLOOKUP(management_table[[#This Row],[ Patient Id]],[1]appointments!$B$1:$B$201,[1]appointments!$D$1:$D$201, ,0)</f>
        <v>45055</v>
      </c>
    </row>
    <row r="147" spans="1:19" x14ac:dyDescent="0.35">
      <c r="A147" t="s">
        <v>304</v>
      </c>
      <c r="B147" t="s">
        <v>305</v>
      </c>
      <c r="C147" t="s">
        <v>12</v>
      </c>
      <c r="D147" t="s">
        <v>13</v>
      </c>
      <c r="E147">
        <v>894.39</v>
      </c>
      <c r="F147" s="1">
        <v>44931</v>
      </c>
      <c r="G147" t="str">
        <f>_xlfn.XLOOKUP(B147,[1]appointments!$A$1:$A$201,[1]appointments!$B$1:$B$201, ,0)</f>
        <v>P028</v>
      </c>
      <c r="H147" t="str">
        <f>_xlfn.XLOOKUP(G147,[2]patients!$A$1:$A$51,[2]patients!$B$1:$B$51, ,0)</f>
        <v>Alex</v>
      </c>
      <c r="I147" t="str">
        <f>_xlfn.XLOOKUP(G147,[2]patients!$A$1:$A$51,[2]patients!$C$1:$C$51, ,0)</f>
        <v>Moore</v>
      </c>
      <c r="J147" t="str">
        <f>_xlfn.XLOOKUP(G147,[2]patients!$A$1:$A$51,[2]patients!$D$1:$D$51, ,0)</f>
        <v>M</v>
      </c>
      <c r="K147" t="str">
        <f>_xlfn.XLOOKUP(G147,[2]patients!$A$1:$A$51,[2]patients!$I$1:$I$51, ,0)</f>
        <v>MedCare Plus</v>
      </c>
      <c r="L147" t="str">
        <f>_xlfn.XLOOKUP(G147,[1]appointments!$B$1:$B$201,[1]appointments!$A$1:$A$201, ,0)</f>
        <v>A021</v>
      </c>
      <c r="M147" t="str">
        <f>_xlfn.XLOOKUP(G147,[1]appointments!$B$1:$B$201,[1]appointments!$F$1:$F$201, ,0)</f>
        <v>Therapy</v>
      </c>
      <c r="N147" t="str">
        <f>_xlfn.XLOOKUP(P147,[3]doctors!$A$1:$A$11,[3]doctors!$B$1:$B$11, ,0)</f>
        <v>Sarah</v>
      </c>
      <c r="O147" t="str">
        <f>_xlfn.XLOOKUP(P147,[3]doctors!$A$1:$A$11,[3]doctors!$C$1:$C$11, ,0)</f>
        <v>Smith</v>
      </c>
      <c r="P147" t="str">
        <f>_xlfn.XLOOKUP(G147,[1]appointments!$B$1:$B$201,[1]appointments!$C$1:$C$201, ,0)</f>
        <v>D009</v>
      </c>
      <c r="Q147" t="str">
        <f>_xlfn.XLOOKUP(P147,[3]doctors!$A$1:$A$11,[3]doctors!$D$1:$D$11, ,0)</f>
        <v>Pediatrics</v>
      </c>
      <c r="R147" t="str">
        <f>_xlfn.XLOOKUP(G147,[1]appointments!$B$1:$B$201,[1]appointments!$G$1:$G$201, ,0)</f>
        <v>No-show</v>
      </c>
      <c r="S147" s="1">
        <f>_xlfn.XLOOKUP(management_table[[#This Row],[ Patient Id]],[1]appointments!$B$1:$B$201,[1]appointments!$D$1:$D$201, ,0)</f>
        <v>45040</v>
      </c>
    </row>
    <row r="148" spans="1:19" x14ac:dyDescent="0.35">
      <c r="A148" t="s">
        <v>306</v>
      </c>
      <c r="B148" t="s">
        <v>307</v>
      </c>
      <c r="C148" t="s">
        <v>12</v>
      </c>
      <c r="D148" t="s">
        <v>9</v>
      </c>
      <c r="E148">
        <v>4716.3100000000004</v>
      </c>
      <c r="F148" s="1">
        <v>45243</v>
      </c>
      <c r="G148" t="str">
        <f>_xlfn.XLOOKUP(B148,[1]appointments!$A$1:$A$201,[1]appointments!$B$1:$B$201, ,0)</f>
        <v>P014</v>
      </c>
      <c r="H148" t="str">
        <f>_xlfn.XLOOKUP(G148,[2]patients!$A$1:$A$51,[2]patients!$B$1:$B$51, ,0)</f>
        <v>Alex</v>
      </c>
      <c r="I148" t="str">
        <f>_xlfn.XLOOKUP(G148,[2]patients!$A$1:$A$51,[2]patients!$C$1:$C$51, ,0)</f>
        <v>Taylor</v>
      </c>
      <c r="J148" t="str">
        <f>_xlfn.XLOOKUP(G148,[2]patients!$A$1:$A$51,[2]patients!$D$1:$D$51, ,0)</f>
        <v>M</v>
      </c>
      <c r="K148" t="str">
        <f>_xlfn.XLOOKUP(G148,[2]patients!$A$1:$A$51,[2]patients!$I$1:$I$51, ,0)</f>
        <v>MedCare Plus</v>
      </c>
      <c r="L148" t="str">
        <f>_xlfn.XLOOKUP(G148,[1]appointments!$B$1:$B$201,[1]appointments!$A$1:$A$201, ,0)</f>
        <v>A020</v>
      </c>
      <c r="M148" t="str">
        <f>_xlfn.XLOOKUP(G148,[1]appointments!$B$1:$B$201,[1]appointments!$F$1:$F$201, ,0)</f>
        <v>Consultation</v>
      </c>
      <c r="N148" t="str">
        <f>_xlfn.XLOOKUP(P148,[3]doctors!$A$1:$A$11,[3]doctors!$B$1:$B$11, ,0)</f>
        <v>Jane</v>
      </c>
      <c r="O148" t="str">
        <f>_xlfn.XLOOKUP(P148,[3]doctors!$A$1:$A$11,[3]doctors!$C$1:$C$11, ,0)</f>
        <v>Smith</v>
      </c>
      <c r="P148" t="str">
        <f>_xlfn.XLOOKUP(G148,[1]appointments!$B$1:$B$201,[1]appointments!$C$1:$C$201, ,0)</f>
        <v>D003</v>
      </c>
      <c r="Q148" t="str">
        <f>_xlfn.XLOOKUP(P148,[3]doctors!$A$1:$A$11,[3]doctors!$D$1:$D$11, ,0)</f>
        <v>Pediatrics</v>
      </c>
      <c r="R148" t="str">
        <f>_xlfn.XLOOKUP(G148,[1]appointments!$B$1:$B$201,[1]appointments!$G$1:$G$201, ,0)</f>
        <v>Completed</v>
      </c>
      <c r="S148" s="1">
        <f>_xlfn.XLOOKUP(management_table[[#This Row],[ Patient Id]],[1]appointments!$B$1:$B$201,[1]appointments!$D$1:$D$201, ,0)</f>
        <v>45265</v>
      </c>
    </row>
    <row r="149" spans="1:19" x14ac:dyDescent="0.35">
      <c r="A149" t="s">
        <v>308</v>
      </c>
      <c r="B149" t="s">
        <v>309</v>
      </c>
      <c r="C149" t="s">
        <v>28</v>
      </c>
      <c r="D149" t="s">
        <v>13</v>
      </c>
      <c r="E149">
        <v>2992.11</v>
      </c>
      <c r="F149" s="1">
        <v>45266</v>
      </c>
      <c r="G149" t="str">
        <f>_xlfn.XLOOKUP(B149,[1]appointments!$A$1:$A$201,[1]appointments!$B$1:$B$201, ,0)</f>
        <v>P031</v>
      </c>
      <c r="H149" t="str">
        <f>_xlfn.XLOOKUP(G149,[2]patients!$A$1:$A$51,[2]patients!$B$1:$B$51, ,0)</f>
        <v>Robert</v>
      </c>
      <c r="I149" t="str">
        <f>_xlfn.XLOOKUP(G149,[2]patients!$A$1:$A$51,[2]patients!$C$1:$C$51, ,0)</f>
        <v>Miller</v>
      </c>
      <c r="J149" t="str">
        <f>_xlfn.XLOOKUP(G149,[2]patients!$A$1:$A$51,[2]patients!$D$1:$D$51, ,0)</f>
        <v>M</v>
      </c>
      <c r="K149" t="str">
        <f>_xlfn.XLOOKUP(G149,[2]patients!$A$1:$A$51,[2]patients!$I$1:$I$51, ,0)</f>
        <v>WellnessCorp</v>
      </c>
      <c r="L149" t="str">
        <f>_xlfn.XLOOKUP(G149,[1]appointments!$B$1:$B$201,[1]appointments!$A$1:$A$201, ,0)</f>
        <v>A044</v>
      </c>
      <c r="M149" t="str">
        <f>_xlfn.XLOOKUP(G149,[1]appointments!$B$1:$B$201,[1]appointments!$F$1:$F$201, ,0)</f>
        <v>Follow-up</v>
      </c>
      <c r="N149" t="str">
        <f>_xlfn.XLOOKUP(P149,[3]doctors!$A$1:$A$11,[3]doctors!$B$1:$B$11, ,0)</f>
        <v>Alex</v>
      </c>
      <c r="O149" t="str">
        <f>_xlfn.XLOOKUP(P149,[3]doctors!$A$1:$A$11,[3]doctors!$C$1:$C$11, ,0)</f>
        <v>Davis</v>
      </c>
      <c r="P149" t="str">
        <f>_xlfn.XLOOKUP(G149,[1]appointments!$B$1:$B$201,[1]appointments!$C$1:$C$201, ,0)</f>
        <v>D006</v>
      </c>
      <c r="Q149" t="str">
        <f>_xlfn.XLOOKUP(P149,[3]doctors!$A$1:$A$11,[3]doctors!$D$1:$D$11, ,0)</f>
        <v>Pediatrics</v>
      </c>
      <c r="R149" t="str">
        <f>_xlfn.XLOOKUP(G149,[1]appointments!$B$1:$B$201,[1]appointments!$G$1:$G$201, ,0)</f>
        <v>Completed</v>
      </c>
      <c r="S149" s="1">
        <f>_xlfn.XLOOKUP(management_table[[#This Row],[ Patient Id]],[1]appointments!$B$1:$B$201,[1]appointments!$D$1:$D$201, ,0)</f>
        <v>45189</v>
      </c>
    </row>
    <row r="150" spans="1:19" x14ac:dyDescent="0.35">
      <c r="A150" t="s">
        <v>310</v>
      </c>
      <c r="B150" t="s">
        <v>311</v>
      </c>
      <c r="C150" t="s">
        <v>28</v>
      </c>
      <c r="D150" t="s">
        <v>13</v>
      </c>
      <c r="E150">
        <v>1874.86</v>
      </c>
      <c r="F150" s="1">
        <v>45133</v>
      </c>
      <c r="G150" t="str">
        <f>_xlfn.XLOOKUP(B150,[1]appointments!$A$1:$A$201,[1]appointments!$B$1:$B$201, ,0)</f>
        <v>P019</v>
      </c>
      <c r="H150" t="str">
        <f>_xlfn.XLOOKUP(G150,[2]patients!$A$1:$A$51,[2]patients!$B$1:$B$51, ,0)</f>
        <v>Sarah</v>
      </c>
      <c r="I150" t="str">
        <f>_xlfn.XLOOKUP(G150,[2]patients!$A$1:$A$51,[2]patients!$C$1:$C$51, ,0)</f>
        <v>Miller</v>
      </c>
      <c r="J150" t="str">
        <f>_xlfn.XLOOKUP(G150,[2]patients!$A$1:$A$51,[2]patients!$D$1:$D$51, ,0)</f>
        <v>M</v>
      </c>
      <c r="K150" t="str">
        <f>_xlfn.XLOOKUP(G150,[2]patients!$A$1:$A$51,[2]patients!$I$1:$I$51, ,0)</f>
        <v>WellnessCorp</v>
      </c>
      <c r="L150" t="str">
        <f>_xlfn.XLOOKUP(G150,[1]appointments!$B$1:$B$201,[1]appointments!$A$1:$A$201, ,0)</f>
        <v>A046</v>
      </c>
      <c r="M150" t="str">
        <f>_xlfn.XLOOKUP(G150,[1]appointments!$B$1:$B$201,[1]appointments!$F$1:$F$201, ,0)</f>
        <v>Consultation</v>
      </c>
      <c r="N150" t="str">
        <f>_xlfn.XLOOKUP(P150,[3]doctors!$A$1:$A$11,[3]doctors!$B$1:$B$11, ,0)</f>
        <v>Jane</v>
      </c>
      <c r="O150" t="str">
        <f>_xlfn.XLOOKUP(P150,[3]doctors!$A$1:$A$11,[3]doctors!$C$1:$C$11, ,0)</f>
        <v>Smith</v>
      </c>
      <c r="P150" t="str">
        <f>_xlfn.XLOOKUP(G150,[1]appointments!$B$1:$B$201,[1]appointments!$C$1:$C$201, ,0)</f>
        <v>D003</v>
      </c>
      <c r="Q150" t="str">
        <f>_xlfn.XLOOKUP(P150,[3]doctors!$A$1:$A$11,[3]doctors!$D$1:$D$11, ,0)</f>
        <v>Pediatrics</v>
      </c>
      <c r="R150" t="str">
        <f>_xlfn.XLOOKUP(G150,[1]appointments!$B$1:$B$201,[1]appointments!$G$1:$G$201, ,0)</f>
        <v>Cancelled</v>
      </c>
      <c r="S150" s="1">
        <f>_xlfn.XLOOKUP(management_table[[#This Row],[ Patient Id]],[1]appointments!$B$1:$B$201,[1]appointments!$D$1:$D$201, ,0)</f>
        <v>45280</v>
      </c>
    </row>
    <row r="151" spans="1:19" x14ac:dyDescent="0.35">
      <c r="A151" t="s">
        <v>312</v>
      </c>
      <c r="B151" t="s">
        <v>313</v>
      </c>
      <c r="C151" t="s">
        <v>21</v>
      </c>
      <c r="D151" t="s">
        <v>13</v>
      </c>
      <c r="E151">
        <v>2286.42</v>
      </c>
      <c r="F151" s="1">
        <v>45154</v>
      </c>
      <c r="G151" t="str">
        <f>_xlfn.XLOOKUP(B151,[1]appointments!$A$1:$A$201,[1]appointments!$B$1:$B$201, ,0)</f>
        <v>P047</v>
      </c>
      <c r="H151" t="str">
        <f>_xlfn.XLOOKUP(G151,[2]patients!$A$1:$A$51,[2]patients!$B$1:$B$51, ,0)</f>
        <v>Jane</v>
      </c>
      <c r="I151" t="str">
        <f>_xlfn.XLOOKUP(G151,[2]patients!$A$1:$A$51,[2]patients!$C$1:$C$51, ,0)</f>
        <v>Moore</v>
      </c>
      <c r="J151" t="str">
        <f>_xlfn.XLOOKUP(G151,[2]patients!$A$1:$A$51,[2]patients!$D$1:$D$51, ,0)</f>
        <v>M</v>
      </c>
      <c r="K151" t="str">
        <f>_xlfn.XLOOKUP(G151,[2]patients!$A$1:$A$51,[2]patients!$I$1:$I$51, ,0)</f>
        <v>WellnessCorp</v>
      </c>
      <c r="L151" t="str">
        <f>_xlfn.XLOOKUP(G151,[1]appointments!$B$1:$B$201,[1]appointments!$A$1:$A$201, ,0)</f>
        <v>A023</v>
      </c>
      <c r="M151" t="str">
        <f>_xlfn.XLOOKUP(G151,[1]appointments!$B$1:$B$201,[1]appointments!$F$1:$F$201, ,0)</f>
        <v>Follow-up</v>
      </c>
      <c r="N151" t="str">
        <f>_xlfn.XLOOKUP(P151,[3]doctors!$A$1:$A$11,[3]doctors!$B$1:$B$11, ,0)</f>
        <v>Sarah</v>
      </c>
      <c r="O151" t="str">
        <f>_xlfn.XLOOKUP(P151,[3]doctors!$A$1:$A$11,[3]doctors!$C$1:$C$11, ,0)</f>
        <v>Smith</v>
      </c>
      <c r="P151" t="str">
        <f>_xlfn.XLOOKUP(G151,[1]appointments!$B$1:$B$201,[1]appointments!$C$1:$C$201, ,0)</f>
        <v>D009</v>
      </c>
      <c r="Q151" t="str">
        <f>_xlfn.XLOOKUP(P151,[3]doctors!$A$1:$A$11,[3]doctors!$D$1:$D$11, ,0)</f>
        <v>Pediatrics</v>
      </c>
      <c r="R151" t="str">
        <f>_xlfn.XLOOKUP(G151,[1]appointments!$B$1:$B$201,[1]appointments!$G$1:$G$201, ,0)</f>
        <v>Cancelled</v>
      </c>
      <c r="S151" s="1">
        <f>_xlfn.XLOOKUP(management_table[[#This Row],[ Patient Id]],[1]appointments!$B$1:$B$201,[1]appointments!$D$1:$D$201, ,0)</f>
        <v>45055</v>
      </c>
    </row>
    <row r="152" spans="1:19" x14ac:dyDescent="0.35">
      <c r="A152" t="s">
        <v>314</v>
      </c>
      <c r="B152" t="s">
        <v>315</v>
      </c>
      <c r="C152" t="s">
        <v>8</v>
      </c>
      <c r="D152" t="s">
        <v>16</v>
      </c>
      <c r="E152">
        <v>2512.41</v>
      </c>
      <c r="F152" s="1">
        <v>44954</v>
      </c>
      <c r="G152" t="str">
        <f>_xlfn.XLOOKUP(B152,[1]appointments!$A$1:$A$201,[1]appointments!$B$1:$B$201, ,0)</f>
        <v>P016</v>
      </c>
      <c r="H152" t="str">
        <f>_xlfn.XLOOKUP(G152,[2]patients!$A$1:$A$51,[2]patients!$B$1:$B$51, ,0)</f>
        <v>Michael</v>
      </c>
      <c r="I152" t="str">
        <f>_xlfn.XLOOKUP(G152,[2]patients!$A$1:$A$51,[2]patients!$C$1:$C$51, ,0)</f>
        <v>Taylor</v>
      </c>
      <c r="J152" t="str">
        <f>_xlfn.XLOOKUP(G152,[2]patients!$A$1:$A$51,[2]patients!$D$1:$D$51, ,0)</f>
        <v>M</v>
      </c>
      <c r="K152" t="str">
        <f>_xlfn.XLOOKUP(G152,[2]patients!$A$1:$A$51,[2]patients!$I$1:$I$51, ,0)</f>
        <v>PulseSecure</v>
      </c>
      <c r="L152" t="str">
        <f>_xlfn.XLOOKUP(G152,[1]appointments!$B$1:$B$201,[1]appointments!$A$1:$A$201, ,0)</f>
        <v>A008</v>
      </c>
      <c r="M152" t="str">
        <f>_xlfn.XLOOKUP(G152,[1]appointments!$B$1:$B$201,[1]appointments!$F$1:$F$201, ,0)</f>
        <v>Consultation</v>
      </c>
      <c r="N152" t="str">
        <f>_xlfn.XLOOKUP(P152,[3]doctors!$A$1:$A$11,[3]doctors!$B$1:$B$11, ,0)</f>
        <v>Linda</v>
      </c>
      <c r="O152" t="str">
        <f>_xlfn.XLOOKUP(P152,[3]doctors!$A$1:$A$11,[3]doctors!$C$1:$C$11, ,0)</f>
        <v>Wilson</v>
      </c>
      <c r="P152" t="str">
        <f>_xlfn.XLOOKUP(G152,[1]appointments!$B$1:$B$201,[1]appointments!$C$1:$C$201, ,0)</f>
        <v>D010</v>
      </c>
      <c r="Q152" t="str">
        <f>_xlfn.XLOOKUP(P152,[3]doctors!$A$1:$A$11,[3]doctors!$D$1:$D$11, ,0)</f>
        <v>Oncology</v>
      </c>
      <c r="R152" t="str">
        <f>_xlfn.XLOOKUP(G152,[1]appointments!$B$1:$B$201,[1]appointments!$G$1:$G$201, ,0)</f>
        <v>Cancelled</v>
      </c>
      <c r="S152" s="1">
        <f>_xlfn.XLOOKUP(management_table[[#This Row],[ Patient Id]],[1]appointments!$B$1:$B$201,[1]appointments!$D$1:$D$201, ,0)</f>
        <v>45070</v>
      </c>
    </row>
    <row r="153" spans="1:19" x14ac:dyDescent="0.35">
      <c r="A153" t="s">
        <v>316</v>
      </c>
      <c r="B153" t="s">
        <v>317</v>
      </c>
      <c r="C153" t="s">
        <v>21</v>
      </c>
      <c r="D153" t="s">
        <v>16</v>
      </c>
      <c r="E153">
        <v>3202.67</v>
      </c>
      <c r="F153" s="1">
        <v>45030</v>
      </c>
      <c r="G153" t="str">
        <f>_xlfn.XLOOKUP(B153,[1]appointments!$A$1:$A$201,[1]appointments!$B$1:$B$201, ,0)</f>
        <v>P005</v>
      </c>
      <c r="H153" t="str">
        <f>_xlfn.XLOOKUP(G153,[2]patients!$A$1:$A$51,[2]patients!$B$1:$B$51, ,0)</f>
        <v>David</v>
      </c>
      <c r="I153" t="str">
        <f>_xlfn.XLOOKUP(G153,[2]patients!$A$1:$A$51,[2]patients!$C$1:$C$51, ,0)</f>
        <v>Wilson</v>
      </c>
      <c r="J153" t="str">
        <f>_xlfn.XLOOKUP(G153,[2]patients!$A$1:$A$51,[2]patients!$D$1:$D$51, ,0)</f>
        <v>M</v>
      </c>
      <c r="K153" t="str">
        <f>_xlfn.XLOOKUP(G153,[2]patients!$A$1:$A$51,[2]patients!$I$1:$I$51, ,0)</f>
        <v>MedCare Plus</v>
      </c>
      <c r="L153" t="str">
        <f>_xlfn.XLOOKUP(G153,[1]appointments!$B$1:$B$201,[1]appointments!$A$1:$A$201, ,0)</f>
        <v>A010</v>
      </c>
      <c r="M153" t="str">
        <f>_xlfn.XLOOKUP(G153,[1]appointments!$B$1:$B$201,[1]appointments!$F$1:$F$201, ,0)</f>
        <v>Therapy</v>
      </c>
      <c r="N153" t="str">
        <f>_xlfn.XLOOKUP(P153,[3]doctors!$A$1:$A$11,[3]doctors!$B$1:$B$11, ,0)</f>
        <v>Jane</v>
      </c>
      <c r="O153" t="str">
        <f>_xlfn.XLOOKUP(P153,[3]doctors!$A$1:$A$11,[3]doctors!$C$1:$C$11, ,0)</f>
        <v>Smith</v>
      </c>
      <c r="P153" t="str">
        <f>_xlfn.XLOOKUP(G153,[1]appointments!$B$1:$B$201,[1]appointments!$C$1:$C$201, ,0)</f>
        <v>D003</v>
      </c>
      <c r="Q153" t="str">
        <f>_xlfn.XLOOKUP(P153,[3]doctors!$A$1:$A$11,[3]doctors!$D$1:$D$11, ,0)</f>
        <v>Pediatrics</v>
      </c>
      <c r="R153" t="str">
        <f>_xlfn.XLOOKUP(G153,[1]appointments!$B$1:$B$201,[1]appointments!$G$1:$G$201, ,0)</f>
        <v>Completed</v>
      </c>
      <c r="S153" s="1">
        <f>_xlfn.XLOOKUP(management_table[[#This Row],[ Patient Id]],[1]appointments!$B$1:$B$201,[1]appointments!$D$1:$D$201, ,0)</f>
        <v>44939</v>
      </c>
    </row>
    <row r="154" spans="1:19" x14ac:dyDescent="0.35">
      <c r="A154" t="s">
        <v>318</v>
      </c>
      <c r="B154" t="s">
        <v>319</v>
      </c>
      <c r="C154" t="s">
        <v>28</v>
      </c>
      <c r="D154" t="s">
        <v>9</v>
      </c>
      <c r="E154">
        <v>2820.56</v>
      </c>
      <c r="F154" s="1">
        <v>45115</v>
      </c>
      <c r="G154" t="str">
        <f>_xlfn.XLOOKUP(B154,[1]appointments!$A$1:$A$201,[1]appointments!$B$1:$B$201, ,0)</f>
        <v>P035</v>
      </c>
      <c r="H154" t="str">
        <f>_xlfn.XLOOKUP(G154,[2]patients!$A$1:$A$51,[2]patients!$B$1:$B$51, ,0)</f>
        <v>David</v>
      </c>
      <c r="I154" t="str">
        <f>_xlfn.XLOOKUP(G154,[2]patients!$A$1:$A$51,[2]patients!$C$1:$C$51, ,0)</f>
        <v>Wilson</v>
      </c>
      <c r="J154" t="str">
        <f>_xlfn.XLOOKUP(G154,[2]patients!$A$1:$A$51,[2]patients!$D$1:$D$51, ,0)</f>
        <v>F</v>
      </c>
      <c r="K154" t="str">
        <f>_xlfn.XLOOKUP(G154,[2]patients!$A$1:$A$51,[2]patients!$I$1:$I$51, ,0)</f>
        <v>MedCare Plus</v>
      </c>
      <c r="L154" t="str">
        <f>_xlfn.XLOOKUP(G154,[1]appointments!$B$1:$B$201,[1]appointments!$A$1:$A$201, ,0)</f>
        <v>A064</v>
      </c>
      <c r="M154" t="str">
        <f>_xlfn.XLOOKUP(G154,[1]appointments!$B$1:$B$201,[1]appointments!$F$1:$F$201, ,0)</f>
        <v>Checkup</v>
      </c>
      <c r="N154" t="str">
        <f>_xlfn.XLOOKUP(P154,[3]doctors!$A$1:$A$11,[3]doctors!$B$1:$B$11, ,0)</f>
        <v>Alex</v>
      </c>
      <c r="O154" t="str">
        <f>_xlfn.XLOOKUP(P154,[3]doctors!$A$1:$A$11,[3]doctors!$C$1:$C$11, ,0)</f>
        <v>Davis</v>
      </c>
      <c r="P154" t="str">
        <f>_xlfn.XLOOKUP(G154,[1]appointments!$B$1:$B$201,[1]appointments!$C$1:$C$201, ,0)</f>
        <v>D006</v>
      </c>
      <c r="Q154" t="str">
        <f>_xlfn.XLOOKUP(P154,[3]doctors!$A$1:$A$11,[3]doctors!$D$1:$D$11, ,0)</f>
        <v>Pediatrics</v>
      </c>
      <c r="R154" t="str">
        <f>_xlfn.XLOOKUP(G154,[1]appointments!$B$1:$B$201,[1]appointments!$G$1:$G$201, ,0)</f>
        <v>Cancelled</v>
      </c>
      <c r="S154" s="1">
        <f>_xlfn.XLOOKUP(management_table[[#This Row],[ Patient Id]],[1]appointments!$B$1:$B$201,[1]appointments!$D$1:$D$201, ,0)</f>
        <v>45077</v>
      </c>
    </row>
    <row r="155" spans="1:19" x14ac:dyDescent="0.35">
      <c r="A155" t="s">
        <v>320</v>
      </c>
      <c r="B155" t="s">
        <v>321</v>
      </c>
      <c r="C155" t="s">
        <v>51</v>
      </c>
      <c r="D155" t="s">
        <v>9</v>
      </c>
      <c r="E155">
        <v>4637.26</v>
      </c>
      <c r="F155" s="1">
        <v>44991</v>
      </c>
      <c r="G155" t="str">
        <f>_xlfn.XLOOKUP(B155,[1]appointments!$A$1:$A$201,[1]appointments!$B$1:$B$201, ,0)</f>
        <v>P012</v>
      </c>
      <c r="H155" t="str">
        <f>_xlfn.XLOOKUP(G155,[2]patients!$A$1:$A$51,[2]patients!$B$1:$B$51, ,0)</f>
        <v>Laura</v>
      </c>
      <c r="I155" t="str">
        <f>_xlfn.XLOOKUP(G155,[2]patients!$A$1:$A$51,[2]patients!$C$1:$C$51, ,0)</f>
        <v>Davis</v>
      </c>
      <c r="J155" t="str">
        <f>_xlfn.XLOOKUP(G155,[2]patients!$A$1:$A$51,[2]patients!$D$1:$D$51, ,0)</f>
        <v>F</v>
      </c>
      <c r="K155" t="str">
        <f>_xlfn.XLOOKUP(G155,[2]patients!$A$1:$A$51,[2]patients!$I$1:$I$51, ,0)</f>
        <v>MedCare Plus</v>
      </c>
      <c r="L155" t="str">
        <f>_xlfn.XLOOKUP(G155,[1]appointments!$B$1:$B$201,[1]appointments!$A$1:$A$201, ,0)</f>
        <v>A014</v>
      </c>
      <c r="M155" t="str">
        <f>_xlfn.XLOOKUP(G155,[1]appointments!$B$1:$B$201,[1]appointments!$F$1:$F$201, ,0)</f>
        <v>Emergency</v>
      </c>
      <c r="N155" t="str">
        <f>_xlfn.XLOOKUP(P155,[3]doctors!$A$1:$A$11,[3]doctors!$B$1:$B$11, ,0)</f>
        <v>Linda</v>
      </c>
      <c r="O155" t="str">
        <f>_xlfn.XLOOKUP(P155,[3]doctors!$A$1:$A$11,[3]doctors!$C$1:$C$11, ,0)</f>
        <v>Wilson</v>
      </c>
      <c r="P155" t="str">
        <f>_xlfn.XLOOKUP(G155,[1]appointments!$B$1:$B$201,[1]appointments!$C$1:$C$201, ,0)</f>
        <v>D010</v>
      </c>
      <c r="Q155" t="str">
        <f>_xlfn.XLOOKUP(P155,[3]doctors!$A$1:$A$11,[3]doctors!$D$1:$D$11, ,0)</f>
        <v>Oncology</v>
      </c>
      <c r="R155" t="str">
        <f>_xlfn.XLOOKUP(G155,[1]appointments!$B$1:$B$201,[1]appointments!$G$1:$G$201, ,0)</f>
        <v>Cancelled</v>
      </c>
      <c r="S155" s="1">
        <f>_xlfn.XLOOKUP(management_table[[#This Row],[ Patient Id]],[1]appointments!$B$1:$B$201,[1]appointments!$D$1:$D$201, ,0)</f>
        <v>45071</v>
      </c>
    </row>
    <row r="156" spans="1:19" x14ac:dyDescent="0.35">
      <c r="A156" t="s">
        <v>322</v>
      </c>
      <c r="B156" t="s">
        <v>323</v>
      </c>
      <c r="C156" t="s">
        <v>28</v>
      </c>
      <c r="D156" t="s">
        <v>16</v>
      </c>
      <c r="E156">
        <v>2736.34</v>
      </c>
      <c r="F156" s="1">
        <v>44929</v>
      </c>
      <c r="G156" t="str">
        <f>_xlfn.XLOOKUP(B156,[1]appointments!$A$1:$A$201,[1]appointments!$B$1:$B$201, ,0)</f>
        <v>P025</v>
      </c>
      <c r="H156" t="str">
        <f>_xlfn.XLOOKUP(G156,[2]patients!$A$1:$A$51,[2]patients!$B$1:$B$51, ,0)</f>
        <v>Robert</v>
      </c>
      <c r="I156" t="str">
        <f>_xlfn.XLOOKUP(G156,[2]patients!$A$1:$A$51,[2]patients!$C$1:$C$51, ,0)</f>
        <v>Wilson</v>
      </c>
      <c r="J156" t="str">
        <f>_xlfn.XLOOKUP(G156,[2]patients!$A$1:$A$51,[2]patients!$D$1:$D$51, ,0)</f>
        <v>M</v>
      </c>
      <c r="K156" t="str">
        <f>_xlfn.XLOOKUP(G156,[2]patients!$A$1:$A$51,[2]patients!$I$1:$I$51, ,0)</f>
        <v>HealthIndia</v>
      </c>
      <c r="L156" t="str">
        <f>_xlfn.XLOOKUP(G156,[1]appointments!$B$1:$B$201,[1]appointments!$A$1:$A$201, ,0)</f>
        <v>A004</v>
      </c>
      <c r="M156" t="str">
        <f>_xlfn.XLOOKUP(G156,[1]appointments!$B$1:$B$201,[1]appointments!$F$1:$F$201, ,0)</f>
        <v>Consultation</v>
      </c>
      <c r="N156" t="str">
        <f>_xlfn.XLOOKUP(P156,[3]doctors!$A$1:$A$11,[3]doctors!$B$1:$B$11, ,0)</f>
        <v>Alex</v>
      </c>
      <c r="O156" t="str">
        <f>_xlfn.XLOOKUP(P156,[3]doctors!$A$1:$A$11,[3]doctors!$C$1:$C$11, ,0)</f>
        <v>Davis</v>
      </c>
      <c r="P156" t="str">
        <f>_xlfn.XLOOKUP(G156,[1]appointments!$B$1:$B$201,[1]appointments!$C$1:$C$201, ,0)</f>
        <v>D006</v>
      </c>
      <c r="Q156" t="str">
        <f>_xlfn.XLOOKUP(P156,[3]doctors!$A$1:$A$11,[3]doctors!$D$1:$D$11, ,0)</f>
        <v>Pediatrics</v>
      </c>
      <c r="R156" t="str">
        <f>_xlfn.XLOOKUP(G156,[1]appointments!$B$1:$B$201,[1]appointments!$G$1:$G$201, ,0)</f>
        <v>Cancelled</v>
      </c>
      <c r="S156" s="1">
        <f>_xlfn.XLOOKUP(management_table[[#This Row],[ Patient Id]],[1]appointments!$B$1:$B$201,[1]appointments!$D$1:$D$201, ,0)</f>
        <v>45170</v>
      </c>
    </row>
    <row r="157" spans="1:19" x14ac:dyDescent="0.35">
      <c r="A157" t="s">
        <v>324</v>
      </c>
      <c r="B157" t="s">
        <v>325</v>
      </c>
      <c r="C157" t="s">
        <v>8</v>
      </c>
      <c r="D157" t="s">
        <v>9</v>
      </c>
      <c r="E157">
        <v>4964.71</v>
      </c>
      <c r="F157" s="1">
        <v>45252</v>
      </c>
      <c r="G157" t="str">
        <f>_xlfn.XLOOKUP(B157,[1]appointments!$A$1:$A$201,[1]appointments!$B$1:$B$201, ,0)</f>
        <v>P021</v>
      </c>
      <c r="H157" t="str">
        <f>_xlfn.XLOOKUP(G157,[2]patients!$A$1:$A$51,[2]patients!$B$1:$B$51, ,0)</f>
        <v>Michael</v>
      </c>
      <c r="I157" t="str">
        <f>_xlfn.XLOOKUP(G157,[2]patients!$A$1:$A$51,[2]patients!$C$1:$C$51, ,0)</f>
        <v>Wilson</v>
      </c>
      <c r="J157" t="str">
        <f>_xlfn.XLOOKUP(G157,[2]patients!$A$1:$A$51,[2]patients!$D$1:$D$51, ,0)</f>
        <v>M</v>
      </c>
      <c r="K157" t="str">
        <f>_xlfn.XLOOKUP(G157,[2]patients!$A$1:$A$51,[2]patients!$I$1:$I$51, ,0)</f>
        <v>WellnessCorp</v>
      </c>
      <c r="L157" t="str">
        <f>_xlfn.XLOOKUP(G157,[1]appointments!$B$1:$B$201,[1]appointments!$A$1:$A$201, ,0)</f>
        <v>A033</v>
      </c>
      <c r="M157" t="str">
        <f>_xlfn.XLOOKUP(G157,[1]appointments!$B$1:$B$201,[1]appointments!$F$1:$F$201, ,0)</f>
        <v>Therapy</v>
      </c>
      <c r="N157" t="str">
        <f>_xlfn.XLOOKUP(P157,[3]doctors!$A$1:$A$11,[3]doctors!$B$1:$B$11, ,0)</f>
        <v>Sarah</v>
      </c>
      <c r="O157" t="str">
        <f>_xlfn.XLOOKUP(P157,[3]doctors!$A$1:$A$11,[3]doctors!$C$1:$C$11, ,0)</f>
        <v>Taylor</v>
      </c>
      <c r="P157" t="str">
        <f>_xlfn.XLOOKUP(G157,[1]appointments!$B$1:$B$201,[1]appointments!$C$1:$C$201, ,0)</f>
        <v>D005</v>
      </c>
      <c r="Q157" t="str">
        <f>_xlfn.XLOOKUP(P157,[3]doctors!$A$1:$A$11,[3]doctors!$D$1:$D$11, ,0)</f>
        <v>Dermatology</v>
      </c>
      <c r="R157" t="str">
        <f>_xlfn.XLOOKUP(G157,[1]appointments!$B$1:$B$201,[1]appointments!$G$1:$G$201, ,0)</f>
        <v>No-show</v>
      </c>
      <c r="S157" s="1">
        <f>_xlfn.XLOOKUP(management_table[[#This Row],[ Patient Id]],[1]appointments!$B$1:$B$201,[1]appointments!$D$1:$D$201, ,0)</f>
        <v>45192</v>
      </c>
    </row>
    <row r="158" spans="1:19" x14ac:dyDescent="0.35">
      <c r="A158" t="s">
        <v>326</v>
      </c>
      <c r="B158" t="s">
        <v>327</v>
      </c>
      <c r="C158" t="s">
        <v>28</v>
      </c>
      <c r="D158" t="s">
        <v>16</v>
      </c>
      <c r="E158">
        <v>4331.41</v>
      </c>
      <c r="F158" s="1">
        <v>45058</v>
      </c>
      <c r="G158" t="str">
        <f>_xlfn.XLOOKUP(B158,[1]appointments!$A$1:$A$201,[1]appointments!$B$1:$B$201, ,0)</f>
        <v>P036</v>
      </c>
      <c r="H158" t="str">
        <f>_xlfn.XLOOKUP(G158,[2]patients!$A$1:$A$51,[2]patients!$B$1:$B$51, ,0)</f>
        <v>Michael</v>
      </c>
      <c r="I158" t="str">
        <f>_xlfn.XLOOKUP(G158,[2]patients!$A$1:$A$51,[2]patients!$C$1:$C$51, ,0)</f>
        <v>Wilson</v>
      </c>
      <c r="J158" t="str">
        <f>_xlfn.XLOOKUP(G158,[2]patients!$A$1:$A$51,[2]patients!$D$1:$D$51, ,0)</f>
        <v>M</v>
      </c>
      <c r="K158" t="str">
        <f>_xlfn.XLOOKUP(G158,[2]patients!$A$1:$A$51,[2]patients!$I$1:$I$51, ,0)</f>
        <v>MedCare Plus</v>
      </c>
      <c r="L158" t="str">
        <f>_xlfn.XLOOKUP(G158,[1]appointments!$B$1:$B$201,[1]appointments!$A$1:$A$201, ,0)</f>
        <v>A035</v>
      </c>
      <c r="M158" t="str">
        <f>_xlfn.XLOOKUP(G158,[1]appointments!$B$1:$B$201,[1]appointments!$F$1:$F$201, ,0)</f>
        <v>Follow-up</v>
      </c>
      <c r="N158" t="str">
        <f>_xlfn.XLOOKUP(P158,[3]doctors!$A$1:$A$11,[3]doctors!$B$1:$B$11, ,0)</f>
        <v>Jane</v>
      </c>
      <c r="O158" t="str">
        <f>_xlfn.XLOOKUP(P158,[3]doctors!$A$1:$A$11,[3]doctors!$C$1:$C$11, ,0)</f>
        <v>Smith</v>
      </c>
      <c r="P158" t="str">
        <f>_xlfn.XLOOKUP(G158,[1]appointments!$B$1:$B$201,[1]appointments!$C$1:$C$201, ,0)</f>
        <v>D003</v>
      </c>
      <c r="Q158" t="str">
        <f>_xlfn.XLOOKUP(P158,[3]doctors!$A$1:$A$11,[3]doctors!$D$1:$D$11, ,0)</f>
        <v>Pediatrics</v>
      </c>
      <c r="R158" t="str">
        <f>_xlfn.XLOOKUP(G158,[1]appointments!$B$1:$B$201,[1]appointments!$G$1:$G$201, ,0)</f>
        <v>Scheduled</v>
      </c>
      <c r="S158" s="1">
        <f>_xlfn.XLOOKUP(management_table[[#This Row],[ Patient Id]],[1]appointments!$B$1:$B$201,[1]appointments!$D$1:$D$201, ,0)</f>
        <v>45034</v>
      </c>
    </row>
    <row r="159" spans="1:19" x14ac:dyDescent="0.35">
      <c r="A159" t="s">
        <v>328</v>
      </c>
      <c r="B159" t="s">
        <v>329</v>
      </c>
      <c r="C159" t="s">
        <v>8</v>
      </c>
      <c r="D159" t="s">
        <v>13</v>
      </c>
      <c r="E159">
        <v>1438.3</v>
      </c>
      <c r="F159" s="1">
        <v>45119</v>
      </c>
      <c r="G159" t="str">
        <f>_xlfn.XLOOKUP(B159,[1]appointments!$A$1:$A$201,[1]appointments!$B$1:$B$201, ,0)</f>
        <v>P023</v>
      </c>
      <c r="H159" t="str">
        <f>_xlfn.XLOOKUP(G159,[2]patients!$A$1:$A$51,[2]patients!$B$1:$B$51, ,0)</f>
        <v>Linda</v>
      </c>
      <c r="I159" t="str">
        <f>_xlfn.XLOOKUP(G159,[2]patients!$A$1:$A$51,[2]patients!$C$1:$C$51, ,0)</f>
        <v>Johnson</v>
      </c>
      <c r="J159" t="str">
        <f>_xlfn.XLOOKUP(G159,[2]patients!$A$1:$A$51,[2]patients!$D$1:$D$51, ,0)</f>
        <v>M</v>
      </c>
      <c r="K159" t="str">
        <f>_xlfn.XLOOKUP(G159,[2]patients!$A$1:$A$51,[2]patients!$I$1:$I$51, ,0)</f>
        <v>WellnessCorp</v>
      </c>
      <c r="L159" t="str">
        <f>_xlfn.XLOOKUP(G159,[1]appointments!$B$1:$B$201,[1]appointments!$A$1:$A$201, ,0)</f>
        <v>A039</v>
      </c>
      <c r="M159" t="str">
        <f>_xlfn.XLOOKUP(G159,[1]appointments!$B$1:$B$201,[1]appointments!$F$1:$F$201, ,0)</f>
        <v>Follow-up</v>
      </c>
      <c r="N159" t="str">
        <f>_xlfn.XLOOKUP(P159,[3]doctors!$A$1:$A$11,[3]doctors!$B$1:$B$11, ,0)</f>
        <v>Jane</v>
      </c>
      <c r="O159" t="str">
        <f>_xlfn.XLOOKUP(P159,[3]doctors!$A$1:$A$11,[3]doctors!$C$1:$C$11, ,0)</f>
        <v>Davis</v>
      </c>
      <c r="P159" t="str">
        <f>_xlfn.XLOOKUP(G159,[1]appointments!$B$1:$B$201,[1]appointments!$C$1:$C$201, ,0)</f>
        <v>D002</v>
      </c>
      <c r="Q159" t="str">
        <f>_xlfn.XLOOKUP(P159,[3]doctors!$A$1:$A$11,[3]doctors!$D$1:$D$11, ,0)</f>
        <v>Pediatrics</v>
      </c>
      <c r="R159" t="str">
        <f>_xlfn.XLOOKUP(G159,[1]appointments!$B$1:$B$201,[1]appointments!$G$1:$G$201, ,0)</f>
        <v>Scheduled</v>
      </c>
      <c r="S159" s="1">
        <f>_xlfn.XLOOKUP(management_table[[#This Row],[ Patient Id]],[1]appointments!$B$1:$B$201,[1]appointments!$D$1:$D$201, ,0)</f>
        <v>45033</v>
      </c>
    </row>
    <row r="160" spans="1:19" x14ac:dyDescent="0.35">
      <c r="A160" t="s">
        <v>330</v>
      </c>
      <c r="B160" t="s">
        <v>331</v>
      </c>
      <c r="C160" t="s">
        <v>8</v>
      </c>
      <c r="D160" t="s">
        <v>13</v>
      </c>
      <c r="E160">
        <v>4687.68</v>
      </c>
      <c r="F160" s="1">
        <v>45024</v>
      </c>
      <c r="G160" t="str">
        <f>_xlfn.XLOOKUP(B160,[1]appointments!$A$1:$A$201,[1]appointments!$B$1:$B$201, ,0)</f>
        <v>P016</v>
      </c>
      <c r="H160" t="str">
        <f>_xlfn.XLOOKUP(G160,[2]patients!$A$1:$A$51,[2]patients!$B$1:$B$51, ,0)</f>
        <v>Michael</v>
      </c>
      <c r="I160" t="str">
        <f>_xlfn.XLOOKUP(G160,[2]patients!$A$1:$A$51,[2]patients!$C$1:$C$51, ,0)</f>
        <v>Taylor</v>
      </c>
      <c r="J160" t="str">
        <f>_xlfn.XLOOKUP(G160,[2]patients!$A$1:$A$51,[2]patients!$D$1:$D$51, ,0)</f>
        <v>M</v>
      </c>
      <c r="K160" t="str">
        <f>_xlfn.XLOOKUP(G160,[2]patients!$A$1:$A$51,[2]patients!$I$1:$I$51, ,0)</f>
        <v>PulseSecure</v>
      </c>
      <c r="L160" t="str">
        <f>_xlfn.XLOOKUP(G160,[1]appointments!$B$1:$B$201,[1]appointments!$A$1:$A$201, ,0)</f>
        <v>A008</v>
      </c>
      <c r="M160" t="str">
        <f>_xlfn.XLOOKUP(G160,[1]appointments!$B$1:$B$201,[1]appointments!$F$1:$F$201, ,0)</f>
        <v>Consultation</v>
      </c>
      <c r="N160" t="str">
        <f>_xlfn.XLOOKUP(P160,[3]doctors!$A$1:$A$11,[3]doctors!$B$1:$B$11, ,0)</f>
        <v>Linda</v>
      </c>
      <c r="O160" t="str">
        <f>_xlfn.XLOOKUP(P160,[3]doctors!$A$1:$A$11,[3]doctors!$C$1:$C$11, ,0)</f>
        <v>Wilson</v>
      </c>
      <c r="P160" t="str">
        <f>_xlfn.XLOOKUP(G160,[1]appointments!$B$1:$B$201,[1]appointments!$C$1:$C$201, ,0)</f>
        <v>D010</v>
      </c>
      <c r="Q160" t="str">
        <f>_xlfn.XLOOKUP(P160,[3]doctors!$A$1:$A$11,[3]doctors!$D$1:$D$11, ,0)</f>
        <v>Oncology</v>
      </c>
      <c r="R160" t="str">
        <f>_xlfn.XLOOKUP(G160,[1]appointments!$B$1:$B$201,[1]appointments!$G$1:$G$201, ,0)</f>
        <v>Cancelled</v>
      </c>
      <c r="S160" s="1">
        <f>_xlfn.XLOOKUP(management_table[[#This Row],[ Patient Id]],[1]appointments!$B$1:$B$201,[1]appointments!$D$1:$D$201, ,0)</f>
        <v>45070</v>
      </c>
    </row>
    <row r="161" spans="1:19" x14ac:dyDescent="0.35">
      <c r="A161" t="s">
        <v>332</v>
      </c>
      <c r="B161" t="s">
        <v>333</v>
      </c>
      <c r="C161" t="s">
        <v>8</v>
      </c>
      <c r="D161" t="s">
        <v>9</v>
      </c>
      <c r="E161">
        <v>1023.65</v>
      </c>
      <c r="F161" s="1">
        <v>45277</v>
      </c>
      <c r="G161" t="str">
        <f>_xlfn.XLOOKUP(B161,[1]appointments!$A$1:$A$201,[1]appointments!$B$1:$B$201, ,0)</f>
        <v>P039</v>
      </c>
      <c r="H161" t="str">
        <f>_xlfn.XLOOKUP(G161,[2]patients!$A$1:$A$51,[2]patients!$B$1:$B$51, ,0)</f>
        <v>Jane</v>
      </c>
      <c r="I161" t="str">
        <f>_xlfn.XLOOKUP(G161,[2]patients!$A$1:$A$51,[2]patients!$C$1:$C$51, ,0)</f>
        <v>Wilson</v>
      </c>
      <c r="J161" t="str">
        <f>_xlfn.XLOOKUP(G161,[2]patients!$A$1:$A$51,[2]patients!$D$1:$D$51, ,0)</f>
        <v>F</v>
      </c>
      <c r="K161" t="str">
        <f>_xlfn.XLOOKUP(G161,[2]patients!$A$1:$A$51,[2]patients!$I$1:$I$51, ,0)</f>
        <v>PulseSecure</v>
      </c>
      <c r="L161" t="str">
        <f>_xlfn.XLOOKUP(G161,[1]appointments!$B$1:$B$201,[1]appointments!$A$1:$A$201, ,0)</f>
        <v>A009</v>
      </c>
      <c r="M161" t="str">
        <f>_xlfn.XLOOKUP(G161,[1]appointments!$B$1:$B$201,[1]appointments!$F$1:$F$201, ,0)</f>
        <v>Follow-up</v>
      </c>
      <c r="N161" t="str">
        <f>_xlfn.XLOOKUP(P161,[3]doctors!$A$1:$A$11,[3]doctors!$B$1:$B$11, ,0)</f>
        <v>Linda</v>
      </c>
      <c r="O161" t="str">
        <f>_xlfn.XLOOKUP(P161,[3]doctors!$A$1:$A$11,[3]doctors!$C$1:$C$11, ,0)</f>
        <v>Wilson</v>
      </c>
      <c r="P161" t="str">
        <f>_xlfn.XLOOKUP(G161,[1]appointments!$B$1:$B$201,[1]appointments!$C$1:$C$201, ,0)</f>
        <v>D010</v>
      </c>
      <c r="Q161" t="str">
        <f>_xlfn.XLOOKUP(P161,[3]doctors!$A$1:$A$11,[3]doctors!$D$1:$D$11, ,0)</f>
        <v>Oncology</v>
      </c>
      <c r="R161" t="str">
        <f>_xlfn.XLOOKUP(G161,[1]appointments!$B$1:$B$201,[1]appointments!$G$1:$G$201, ,0)</f>
        <v>Scheduled</v>
      </c>
      <c r="S161" s="1">
        <f>_xlfn.XLOOKUP(management_table[[#This Row],[ Patient Id]],[1]appointments!$B$1:$B$201,[1]appointments!$D$1:$D$201, ,0)</f>
        <v>44990</v>
      </c>
    </row>
    <row r="162" spans="1:19" x14ac:dyDescent="0.35">
      <c r="A162" t="s">
        <v>334</v>
      </c>
      <c r="B162" t="s">
        <v>335</v>
      </c>
      <c r="C162" t="s">
        <v>8</v>
      </c>
      <c r="D162" t="s">
        <v>16</v>
      </c>
      <c r="E162">
        <v>4178.5200000000004</v>
      </c>
      <c r="F162" s="1">
        <v>45094</v>
      </c>
      <c r="G162" t="str">
        <f>_xlfn.XLOOKUP(B162,[1]appointments!$A$1:$A$201,[1]appointments!$B$1:$B$201, ,0)</f>
        <v>P045</v>
      </c>
      <c r="H162" t="str">
        <f>_xlfn.XLOOKUP(G162,[2]patients!$A$1:$A$51,[2]patients!$B$1:$B$51, ,0)</f>
        <v>Linda</v>
      </c>
      <c r="I162" t="str">
        <f>_xlfn.XLOOKUP(G162,[2]patients!$A$1:$A$51,[2]patients!$C$1:$C$51, ,0)</f>
        <v>Miller</v>
      </c>
      <c r="J162" t="str">
        <f>_xlfn.XLOOKUP(G162,[2]patients!$A$1:$A$51,[2]patients!$D$1:$D$51, ,0)</f>
        <v>F</v>
      </c>
      <c r="K162" t="str">
        <f>_xlfn.XLOOKUP(G162,[2]patients!$A$1:$A$51,[2]patients!$I$1:$I$51, ,0)</f>
        <v>MedCare Plus</v>
      </c>
      <c r="L162" t="str">
        <f>_xlfn.XLOOKUP(G162,[1]appointments!$B$1:$B$201,[1]appointments!$A$1:$A$201, ,0)</f>
        <v>A006</v>
      </c>
      <c r="M162" t="str">
        <f>_xlfn.XLOOKUP(G162,[1]appointments!$B$1:$B$201,[1]appointments!$F$1:$F$201, ,0)</f>
        <v>Checkup</v>
      </c>
      <c r="N162" t="str">
        <f>_xlfn.XLOOKUP(P162,[3]doctors!$A$1:$A$11,[3]doctors!$B$1:$B$11, ,0)</f>
        <v>Alex</v>
      </c>
      <c r="O162" t="str">
        <f>_xlfn.XLOOKUP(P162,[3]doctors!$A$1:$A$11,[3]doctors!$C$1:$C$11, ,0)</f>
        <v>Davis</v>
      </c>
      <c r="P162" t="str">
        <f>_xlfn.XLOOKUP(G162,[1]appointments!$B$1:$B$201,[1]appointments!$C$1:$C$201, ,0)</f>
        <v>D006</v>
      </c>
      <c r="Q162" t="str">
        <f>_xlfn.XLOOKUP(P162,[3]doctors!$A$1:$A$11,[3]doctors!$D$1:$D$11, ,0)</f>
        <v>Pediatrics</v>
      </c>
      <c r="R162" t="str">
        <f>_xlfn.XLOOKUP(G162,[1]appointments!$B$1:$B$201,[1]appointments!$G$1:$G$201, ,0)</f>
        <v>Scheduled</v>
      </c>
      <c r="S162" s="1">
        <f>_xlfn.XLOOKUP(management_table[[#This Row],[ Patient Id]],[1]appointments!$B$1:$B$201,[1]appointments!$D$1:$D$201, ,0)</f>
        <v>45096</v>
      </c>
    </row>
    <row r="163" spans="1:19" x14ac:dyDescent="0.35">
      <c r="A163" t="s">
        <v>336</v>
      </c>
      <c r="B163" t="s">
        <v>337</v>
      </c>
      <c r="C163" t="s">
        <v>8</v>
      </c>
      <c r="D163" t="s">
        <v>16</v>
      </c>
      <c r="E163">
        <v>2212.8000000000002</v>
      </c>
      <c r="F163" s="1">
        <v>44927</v>
      </c>
      <c r="G163" t="str">
        <f>_xlfn.XLOOKUP(B163,[1]appointments!$A$1:$A$201,[1]appointments!$B$1:$B$201, ,0)</f>
        <v>P042</v>
      </c>
      <c r="H163" t="str">
        <f>_xlfn.XLOOKUP(G163,[2]patients!$A$1:$A$51,[2]patients!$B$1:$B$51, ,0)</f>
        <v>Jane</v>
      </c>
      <c r="I163" t="str">
        <f>_xlfn.XLOOKUP(G163,[2]patients!$A$1:$A$51,[2]patients!$C$1:$C$51, ,0)</f>
        <v>Smith</v>
      </c>
      <c r="J163" t="str">
        <f>_xlfn.XLOOKUP(G163,[2]patients!$A$1:$A$51,[2]patients!$D$1:$D$51, ,0)</f>
        <v>F</v>
      </c>
      <c r="K163" t="str">
        <f>_xlfn.XLOOKUP(G163,[2]patients!$A$1:$A$51,[2]patients!$I$1:$I$51, ,0)</f>
        <v>MedCare Plus</v>
      </c>
      <c r="L163" t="str">
        <f>_xlfn.XLOOKUP(G163,[1]appointments!$B$1:$B$201,[1]appointments!$A$1:$A$201, ,0)</f>
        <v>A162</v>
      </c>
      <c r="M163" t="str">
        <f>_xlfn.XLOOKUP(G163,[1]appointments!$B$1:$B$201,[1]appointments!$F$1:$F$201, ,0)</f>
        <v>Emergency</v>
      </c>
      <c r="N163" t="str">
        <f>_xlfn.XLOOKUP(P163,[3]doctors!$A$1:$A$11,[3]doctors!$B$1:$B$11, ,0)</f>
        <v>David</v>
      </c>
      <c r="O163" t="str">
        <f>_xlfn.XLOOKUP(P163,[3]doctors!$A$1:$A$11,[3]doctors!$C$1:$C$11, ,0)</f>
        <v>Jones</v>
      </c>
      <c r="P163" t="str">
        <f>_xlfn.XLOOKUP(G163,[1]appointments!$B$1:$B$201,[1]appointments!$C$1:$C$201, ,0)</f>
        <v>D004</v>
      </c>
      <c r="Q163" t="str">
        <f>_xlfn.XLOOKUP(P163,[3]doctors!$A$1:$A$11,[3]doctors!$D$1:$D$11, ,0)</f>
        <v>Pediatrics</v>
      </c>
      <c r="R163" t="str">
        <f>_xlfn.XLOOKUP(G163,[1]appointments!$B$1:$B$201,[1]appointments!$G$1:$G$201, ,0)</f>
        <v>No-show</v>
      </c>
      <c r="S163" s="1">
        <f>_xlfn.XLOOKUP(management_table[[#This Row],[ Patient Id]],[1]appointments!$B$1:$B$201,[1]appointments!$D$1:$D$201, ,0)</f>
        <v>44927</v>
      </c>
    </row>
    <row r="164" spans="1:19" x14ac:dyDescent="0.35">
      <c r="A164" t="s">
        <v>338</v>
      </c>
      <c r="B164" t="s">
        <v>339</v>
      </c>
      <c r="C164" t="s">
        <v>51</v>
      </c>
      <c r="D164" t="s">
        <v>9</v>
      </c>
      <c r="E164">
        <v>4450.88</v>
      </c>
      <c r="F164" s="1">
        <v>45104</v>
      </c>
      <c r="G164" t="str">
        <f>_xlfn.XLOOKUP(B164,[1]appointments!$A$1:$A$201,[1]appointments!$B$1:$B$201, ,0)</f>
        <v>P039</v>
      </c>
      <c r="H164" t="str">
        <f>_xlfn.XLOOKUP(G164,[2]patients!$A$1:$A$51,[2]patients!$B$1:$B$51, ,0)</f>
        <v>Jane</v>
      </c>
      <c r="I164" t="str">
        <f>_xlfn.XLOOKUP(G164,[2]patients!$A$1:$A$51,[2]patients!$C$1:$C$51, ,0)</f>
        <v>Wilson</v>
      </c>
      <c r="J164" t="str">
        <f>_xlfn.XLOOKUP(G164,[2]patients!$A$1:$A$51,[2]patients!$D$1:$D$51, ,0)</f>
        <v>F</v>
      </c>
      <c r="K164" t="str">
        <f>_xlfn.XLOOKUP(G164,[2]patients!$A$1:$A$51,[2]patients!$I$1:$I$51, ,0)</f>
        <v>PulseSecure</v>
      </c>
      <c r="L164" t="str">
        <f>_xlfn.XLOOKUP(G164,[1]appointments!$B$1:$B$201,[1]appointments!$A$1:$A$201, ,0)</f>
        <v>A009</v>
      </c>
      <c r="M164" t="str">
        <f>_xlfn.XLOOKUP(G164,[1]appointments!$B$1:$B$201,[1]appointments!$F$1:$F$201, ,0)</f>
        <v>Follow-up</v>
      </c>
      <c r="N164" t="str">
        <f>_xlfn.XLOOKUP(P164,[3]doctors!$A$1:$A$11,[3]doctors!$B$1:$B$11, ,0)</f>
        <v>Linda</v>
      </c>
      <c r="O164" t="str">
        <f>_xlfn.XLOOKUP(P164,[3]doctors!$A$1:$A$11,[3]doctors!$C$1:$C$11, ,0)</f>
        <v>Wilson</v>
      </c>
      <c r="P164" t="str">
        <f>_xlfn.XLOOKUP(G164,[1]appointments!$B$1:$B$201,[1]appointments!$C$1:$C$201, ,0)</f>
        <v>D010</v>
      </c>
      <c r="Q164" t="str">
        <f>_xlfn.XLOOKUP(P164,[3]doctors!$A$1:$A$11,[3]doctors!$D$1:$D$11, ,0)</f>
        <v>Oncology</v>
      </c>
      <c r="R164" t="str">
        <f>_xlfn.XLOOKUP(G164,[1]appointments!$B$1:$B$201,[1]appointments!$G$1:$G$201, ,0)</f>
        <v>Scheduled</v>
      </c>
      <c r="S164" s="1">
        <f>_xlfn.XLOOKUP(management_table[[#This Row],[ Patient Id]],[1]appointments!$B$1:$B$201,[1]appointments!$D$1:$D$201, ,0)</f>
        <v>44990</v>
      </c>
    </row>
    <row r="165" spans="1:19" x14ac:dyDescent="0.35">
      <c r="A165" t="s">
        <v>340</v>
      </c>
      <c r="B165" t="s">
        <v>341</v>
      </c>
      <c r="C165" t="s">
        <v>21</v>
      </c>
      <c r="D165" t="s">
        <v>16</v>
      </c>
      <c r="E165">
        <v>4406.26</v>
      </c>
      <c r="F165" s="1">
        <v>45135</v>
      </c>
      <c r="G165" t="str">
        <f>_xlfn.XLOOKUP(B165,[1]appointments!$A$1:$A$201,[1]appointments!$B$1:$B$201, ,0)</f>
        <v>P014</v>
      </c>
      <c r="H165" t="str">
        <f>_xlfn.XLOOKUP(G165,[2]patients!$A$1:$A$51,[2]patients!$B$1:$B$51, ,0)</f>
        <v>Alex</v>
      </c>
      <c r="I165" t="str">
        <f>_xlfn.XLOOKUP(G165,[2]patients!$A$1:$A$51,[2]patients!$C$1:$C$51, ,0)</f>
        <v>Taylor</v>
      </c>
      <c r="J165" t="str">
        <f>_xlfn.XLOOKUP(G165,[2]patients!$A$1:$A$51,[2]patients!$D$1:$D$51, ,0)</f>
        <v>M</v>
      </c>
      <c r="K165" t="str">
        <f>_xlfn.XLOOKUP(G165,[2]patients!$A$1:$A$51,[2]patients!$I$1:$I$51, ,0)</f>
        <v>MedCare Plus</v>
      </c>
      <c r="L165" t="str">
        <f>_xlfn.XLOOKUP(G165,[1]appointments!$B$1:$B$201,[1]appointments!$A$1:$A$201, ,0)</f>
        <v>A020</v>
      </c>
      <c r="M165" t="str">
        <f>_xlfn.XLOOKUP(G165,[1]appointments!$B$1:$B$201,[1]appointments!$F$1:$F$201, ,0)</f>
        <v>Consultation</v>
      </c>
      <c r="N165" t="str">
        <f>_xlfn.XLOOKUP(P165,[3]doctors!$A$1:$A$11,[3]doctors!$B$1:$B$11, ,0)</f>
        <v>Jane</v>
      </c>
      <c r="O165" t="str">
        <f>_xlfn.XLOOKUP(P165,[3]doctors!$A$1:$A$11,[3]doctors!$C$1:$C$11, ,0)</f>
        <v>Smith</v>
      </c>
      <c r="P165" t="str">
        <f>_xlfn.XLOOKUP(G165,[1]appointments!$B$1:$B$201,[1]appointments!$C$1:$C$201, ,0)</f>
        <v>D003</v>
      </c>
      <c r="Q165" t="str">
        <f>_xlfn.XLOOKUP(P165,[3]doctors!$A$1:$A$11,[3]doctors!$D$1:$D$11, ,0)</f>
        <v>Pediatrics</v>
      </c>
      <c r="R165" t="str">
        <f>_xlfn.XLOOKUP(G165,[1]appointments!$B$1:$B$201,[1]appointments!$G$1:$G$201, ,0)</f>
        <v>Completed</v>
      </c>
      <c r="S165" s="1">
        <f>_xlfn.XLOOKUP(management_table[[#This Row],[ Patient Id]],[1]appointments!$B$1:$B$201,[1]appointments!$D$1:$D$201, ,0)</f>
        <v>45265</v>
      </c>
    </row>
    <row r="166" spans="1:19" x14ac:dyDescent="0.35">
      <c r="A166" t="s">
        <v>342</v>
      </c>
      <c r="B166" t="s">
        <v>343</v>
      </c>
      <c r="C166" t="s">
        <v>12</v>
      </c>
      <c r="D166" t="s">
        <v>13</v>
      </c>
      <c r="E166">
        <v>4126.66</v>
      </c>
      <c r="F166" s="1">
        <v>45020</v>
      </c>
      <c r="G166" t="str">
        <f>_xlfn.XLOOKUP(B166,[1]appointments!$A$1:$A$201,[1]appointments!$B$1:$B$201, ,0)</f>
        <v>P031</v>
      </c>
      <c r="H166" t="str">
        <f>_xlfn.XLOOKUP(G166,[2]patients!$A$1:$A$51,[2]patients!$B$1:$B$51, ,0)</f>
        <v>Robert</v>
      </c>
      <c r="I166" t="str">
        <f>_xlfn.XLOOKUP(G166,[2]patients!$A$1:$A$51,[2]patients!$C$1:$C$51, ,0)</f>
        <v>Miller</v>
      </c>
      <c r="J166" t="str">
        <f>_xlfn.XLOOKUP(G166,[2]patients!$A$1:$A$51,[2]patients!$D$1:$D$51, ,0)</f>
        <v>M</v>
      </c>
      <c r="K166" t="str">
        <f>_xlfn.XLOOKUP(G166,[2]patients!$A$1:$A$51,[2]patients!$I$1:$I$51, ,0)</f>
        <v>WellnessCorp</v>
      </c>
      <c r="L166" t="str">
        <f>_xlfn.XLOOKUP(G166,[1]appointments!$B$1:$B$201,[1]appointments!$A$1:$A$201, ,0)</f>
        <v>A044</v>
      </c>
      <c r="M166" t="str">
        <f>_xlfn.XLOOKUP(G166,[1]appointments!$B$1:$B$201,[1]appointments!$F$1:$F$201, ,0)</f>
        <v>Follow-up</v>
      </c>
      <c r="N166" t="str">
        <f>_xlfn.XLOOKUP(P166,[3]doctors!$A$1:$A$11,[3]doctors!$B$1:$B$11, ,0)</f>
        <v>Alex</v>
      </c>
      <c r="O166" t="str">
        <f>_xlfn.XLOOKUP(P166,[3]doctors!$A$1:$A$11,[3]doctors!$C$1:$C$11, ,0)</f>
        <v>Davis</v>
      </c>
      <c r="P166" t="str">
        <f>_xlfn.XLOOKUP(G166,[1]appointments!$B$1:$B$201,[1]appointments!$C$1:$C$201, ,0)</f>
        <v>D006</v>
      </c>
      <c r="Q166" t="str">
        <f>_xlfn.XLOOKUP(P166,[3]doctors!$A$1:$A$11,[3]doctors!$D$1:$D$11, ,0)</f>
        <v>Pediatrics</v>
      </c>
      <c r="R166" t="str">
        <f>_xlfn.XLOOKUP(G166,[1]appointments!$B$1:$B$201,[1]appointments!$G$1:$G$201, ,0)</f>
        <v>Completed</v>
      </c>
      <c r="S166" s="1">
        <f>_xlfn.XLOOKUP(management_table[[#This Row],[ Patient Id]],[1]appointments!$B$1:$B$201,[1]appointments!$D$1:$D$201, ,0)</f>
        <v>45189</v>
      </c>
    </row>
    <row r="167" spans="1:19" x14ac:dyDescent="0.35">
      <c r="A167" t="s">
        <v>344</v>
      </c>
      <c r="B167" t="s">
        <v>345</v>
      </c>
      <c r="C167" t="s">
        <v>21</v>
      </c>
      <c r="D167" t="s">
        <v>9</v>
      </c>
      <c r="E167">
        <v>4055.14</v>
      </c>
      <c r="F167" s="1">
        <v>44938</v>
      </c>
      <c r="G167" t="str">
        <f>_xlfn.XLOOKUP(B167,[1]appointments!$A$1:$A$201,[1]appointments!$B$1:$B$201, ,0)</f>
        <v>P005</v>
      </c>
      <c r="H167" t="str">
        <f>_xlfn.XLOOKUP(G167,[2]patients!$A$1:$A$51,[2]patients!$B$1:$B$51, ,0)</f>
        <v>David</v>
      </c>
      <c r="I167" t="str">
        <f>_xlfn.XLOOKUP(G167,[2]patients!$A$1:$A$51,[2]patients!$C$1:$C$51, ,0)</f>
        <v>Wilson</v>
      </c>
      <c r="J167" t="str">
        <f>_xlfn.XLOOKUP(G167,[2]patients!$A$1:$A$51,[2]patients!$D$1:$D$51, ,0)</f>
        <v>M</v>
      </c>
      <c r="K167" t="str">
        <f>_xlfn.XLOOKUP(G167,[2]patients!$A$1:$A$51,[2]patients!$I$1:$I$51, ,0)</f>
        <v>MedCare Plus</v>
      </c>
      <c r="L167" t="str">
        <f>_xlfn.XLOOKUP(G167,[1]appointments!$B$1:$B$201,[1]appointments!$A$1:$A$201, ,0)</f>
        <v>A010</v>
      </c>
      <c r="M167" t="str">
        <f>_xlfn.XLOOKUP(G167,[1]appointments!$B$1:$B$201,[1]appointments!$F$1:$F$201, ,0)</f>
        <v>Therapy</v>
      </c>
      <c r="N167" t="str">
        <f>_xlfn.XLOOKUP(P167,[3]doctors!$A$1:$A$11,[3]doctors!$B$1:$B$11, ,0)</f>
        <v>Jane</v>
      </c>
      <c r="O167" t="str">
        <f>_xlfn.XLOOKUP(P167,[3]doctors!$A$1:$A$11,[3]doctors!$C$1:$C$11, ,0)</f>
        <v>Smith</v>
      </c>
      <c r="P167" t="str">
        <f>_xlfn.XLOOKUP(G167,[1]appointments!$B$1:$B$201,[1]appointments!$C$1:$C$201, ,0)</f>
        <v>D003</v>
      </c>
      <c r="Q167" t="str">
        <f>_xlfn.XLOOKUP(P167,[3]doctors!$A$1:$A$11,[3]doctors!$D$1:$D$11, ,0)</f>
        <v>Pediatrics</v>
      </c>
      <c r="R167" t="str">
        <f>_xlfn.XLOOKUP(G167,[1]appointments!$B$1:$B$201,[1]appointments!$G$1:$G$201, ,0)</f>
        <v>Completed</v>
      </c>
      <c r="S167" s="1">
        <f>_xlfn.XLOOKUP(management_table[[#This Row],[ Patient Id]],[1]appointments!$B$1:$B$201,[1]appointments!$D$1:$D$201, ,0)</f>
        <v>44939</v>
      </c>
    </row>
    <row r="168" spans="1:19" x14ac:dyDescent="0.35">
      <c r="A168" t="s">
        <v>346</v>
      </c>
      <c r="B168" t="s">
        <v>347</v>
      </c>
      <c r="C168" t="s">
        <v>8</v>
      </c>
      <c r="D168" t="s">
        <v>9</v>
      </c>
      <c r="E168">
        <v>1871.06</v>
      </c>
      <c r="F168" s="1">
        <v>45245</v>
      </c>
      <c r="G168" t="str">
        <f>_xlfn.XLOOKUP(B168,[1]appointments!$A$1:$A$201,[1]appointments!$B$1:$B$201, ,0)</f>
        <v>P035</v>
      </c>
      <c r="H168" t="str">
        <f>_xlfn.XLOOKUP(G168,[2]patients!$A$1:$A$51,[2]patients!$B$1:$B$51, ,0)</f>
        <v>David</v>
      </c>
      <c r="I168" t="str">
        <f>_xlfn.XLOOKUP(G168,[2]patients!$A$1:$A$51,[2]patients!$C$1:$C$51, ,0)</f>
        <v>Wilson</v>
      </c>
      <c r="J168" t="str">
        <f>_xlfn.XLOOKUP(G168,[2]patients!$A$1:$A$51,[2]patients!$D$1:$D$51, ,0)</f>
        <v>F</v>
      </c>
      <c r="K168" t="str">
        <f>_xlfn.XLOOKUP(G168,[2]patients!$A$1:$A$51,[2]patients!$I$1:$I$51, ,0)</f>
        <v>MedCare Plus</v>
      </c>
      <c r="L168" t="str">
        <f>_xlfn.XLOOKUP(G168,[1]appointments!$B$1:$B$201,[1]appointments!$A$1:$A$201, ,0)</f>
        <v>A064</v>
      </c>
      <c r="M168" t="str">
        <f>_xlfn.XLOOKUP(G168,[1]appointments!$B$1:$B$201,[1]appointments!$F$1:$F$201, ,0)</f>
        <v>Checkup</v>
      </c>
      <c r="N168" t="str">
        <f>_xlfn.XLOOKUP(P168,[3]doctors!$A$1:$A$11,[3]doctors!$B$1:$B$11, ,0)</f>
        <v>Alex</v>
      </c>
      <c r="O168" t="str">
        <f>_xlfn.XLOOKUP(P168,[3]doctors!$A$1:$A$11,[3]doctors!$C$1:$C$11, ,0)</f>
        <v>Davis</v>
      </c>
      <c r="P168" t="str">
        <f>_xlfn.XLOOKUP(G168,[1]appointments!$B$1:$B$201,[1]appointments!$C$1:$C$201, ,0)</f>
        <v>D006</v>
      </c>
      <c r="Q168" t="str">
        <f>_xlfn.XLOOKUP(P168,[3]doctors!$A$1:$A$11,[3]doctors!$D$1:$D$11, ,0)</f>
        <v>Pediatrics</v>
      </c>
      <c r="R168" t="str">
        <f>_xlfn.XLOOKUP(G168,[1]appointments!$B$1:$B$201,[1]appointments!$G$1:$G$201, ,0)</f>
        <v>Cancelled</v>
      </c>
      <c r="S168" s="1">
        <f>_xlfn.XLOOKUP(management_table[[#This Row],[ Patient Id]],[1]appointments!$B$1:$B$201,[1]appointments!$D$1:$D$201, ,0)</f>
        <v>45077</v>
      </c>
    </row>
    <row r="169" spans="1:19" x14ac:dyDescent="0.35">
      <c r="A169" t="s">
        <v>348</v>
      </c>
      <c r="B169" t="s">
        <v>349</v>
      </c>
      <c r="C169" t="s">
        <v>51</v>
      </c>
      <c r="D169" t="s">
        <v>16</v>
      </c>
      <c r="E169">
        <v>864.14</v>
      </c>
      <c r="F169" s="1">
        <v>45198</v>
      </c>
      <c r="G169" t="str">
        <f>_xlfn.XLOOKUP(B169,[1]appointments!$A$1:$A$201,[1]appointments!$B$1:$B$201, ,0)</f>
        <v>P023</v>
      </c>
      <c r="H169" t="str">
        <f>_xlfn.XLOOKUP(G169,[2]patients!$A$1:$A$51,[2]patients!$B$1:$B$51, ,0)</f>
        <v>Linda</v>
      </c>
      <c r="I169" t="str">
        <f>_xlfn.XLOOKUP(G169,[2]patients!$A$1:$A$51,[2]patients!$C$1:$C$51, ,0)</f>
        <v>Johnson</v>
      </c>
      <c r="J169" t="str">
        <f>_xlfn.XLOOKUP(G169,[2]patients!$A$1:$A$51,[2]patients!$D$1:$D$51, ,0)</f>
        <v>M</v>
      </c>
      <c r="K169" t="str">
        <f>_xlfn.XLOOKUP(G169,[2]patients!$A$1:$A$51,[2]patients!$I$1:$I$51, ,0)</f>
        <v>WellnessCorp</v>
      </c>
      <c r="L169" t="str">
        <f>_xlfn.XLOOKUP(G169,[1]appointments!$B$1:$B$201,[1]appointments!$A$1:$A$201, ,0)</f>
        <v>A039</v>
      </c>
      <c r="M169" t="str">
        <f>_xlfn.XLOOKUP(G169,[1]appointments!$B$1:$B$201,[1]appointments!$F$1:$F$201, ,0)</f>
        <v>Follow-up</v>
      </c>
      <c r="N169" t="str">
        <f>_xlfn.XLOOKUP(P169,[3]doctors!$A$1:$A$11,[3]doctors!$B$1:$B$11, ,0)</f>
        <v>Jane</v>
      </c>
      <c r="O169" t="str">
        <f>_xlfn.XLOOKUP(P169,[3]doctors!$A$1:$A$11,[3]doctors!$C$1:$C$11, ,0)</f>
        <v>Davis</v>
      </c>
      <c r="P169" t="str">
        <f>_xlfn.XLOOKUP(G169,[1]appointments!$B$1:$B$201,[1]appointments!$C$1:$C$201, ,0)</f>
        <v>D002</v>
      </c>
      <c r="Q169" t="str">
        <f>_xlfn.XLOOKUP(P169,[3]doctors!$A$1:$A$11,[3]doctors!$D$1:$D$11, ,0)</f>
        <v>Pediatrics</v>
      </c>
      <c r="R169" t="str">
        <f>_xlfn.XLOOKUP(G169,[1]appointments!$B$1:$B$201,[1]appointments!$G$1:$G$201, ,0)</f>
        <v>Scheduled</v>
      </c>
      <c r="S169" s="1">
        <f>_xlfn.XLOOKUP(management_table[[#This Row],[ Patient Id]],[1]appointments!$B$1:$B$201,[1]appointments!$D$1:$D$201, ,0)</f>
        <v>45033</v>
      </c>
    </row>
    <row r="170" spans="1:19" x14ac:dyDescent="0.35">
      <c r="A170" t="s">
        <v>350</v>
      </c>
      <c r="B170" t="s">
        <v>351</v>
      </c>
      <c r="C170" t="s">
        <v>28</v>
      </c>
      <c r="D170" t="s">
        <v>9</v>
      </c>
      <c r="E170">
        <v>2313.41</v>
      </c>
      <c r="F170" s="1">
        <v>45131</v>
      </c>
      <c r="G170" t="str">
        <f>_xlfn.XLOOKUP(B170,[1]appointments!$A$1:$A$201,[1]appointments!$B$1:$B$201, ,0)</f>
        <v>P029</v>
      </c>
      <c r="H170" t="str">
        <f>_xlfn.XLOOKUP(G170,[2]patients!$A$1:$A$51,[2]patients!$B$1:$B$51, ,0)</f>
        <v>David</v>
      </c>
      <c r="I170" t="str">
        <f>_xlfn.XLOOKUP(G170,[2]patients!$A$1:$A$51,[2]patients!$C$1:$C$51, ,0)</f>
        <v>Smith</v>
      </c>
      <c r="J170" t="str">
        <f>_xlfn.XLOOKUP(G170,[2]patients!$A$1:$A$51,[2]patients!$D$1:$D$51, ,0)</f>
        <v>M</v>
      </c>
      <c r="K170" t="str">
        <f>_xlfn.XLOOKUP(G170,[2]patients!$A$1:$A$51,[2]patients!$I$1:$I$51, ,0)</f>
        <v>HealthIndia</v>
      </c>
      <c r="L170" t="str">
        <f>_xlfn.XLOOKUP(G170,[1]appointments!$B$1:$B$201,[1]appointments!$A$1:$A$201, ,0)</f>
        <v>A012</v>
      </c>
      <c r="M170" t="str">
        <f>_xlfn.XLOOKUP(G170,[1]appointments!$B$1:$B$201,[1]appointments!$F$1:$F$201, ,0)</f>
        <v>Follow-up</v>
      </c>
      <c r="N170" t="str">
        <f>_xlfn.XLOOKUP(P170,[3]doctors!$A$1:$A$11,[3]doctors!$B$1:$B$11, ,0)</f>
        <v>Jane</v>
      </c>
      <c r="O170" t="str">
        <f>_xlfn.XLOOKUP(P170,[3]doctors!$A$1:$A$11,[3]doctors!$C$1:$C$11, ,0)</f>
        <v>Smith</v>
      </c>
      <c r="P170" t="str">
        <f>_xlfn.XLOOKUP(G170,[1]appointments!$B$1:$B$201,[1]appointments!$C$1:$C$201, ,0)</f>
        <v>D003</v>
      </c>
      <c r="Q170" t="str">
        <f>_xlfn.XLOOKUP(P170,[3]doctors!$A$1:$A$11,[3]doctors!$D$1:$D$11, ,0)</f>
        <v>Pediatrics</v>
      </c>
      <c r="R170" t="str">
        <f>_xlfn.XLOOKUP(G170,[1]appointments!$B$1:$B$201,[1]appointments!$G$1:$G$201, ,0)</f>
        <v>Completed</v>
      </c>
      <c r="S170" s="1">
        <f>_xlfn.XLOOKUP(management_table[[#This Row],[ Patient Id]],[1]appointments!$B$1:$B$201,[1]appointments!$D$1:$D$201, ,0)</f>
        <v>45053</v>
      </c>
    </row>
    <row r="171" spans="1:19" x14ac:dyDescent="0.35">
      <c r="A171" t="s">
        <v>352</v>
      </c>
      <c r="B171" t="s">
        <v>353</v>
      </c>
      <c r="C171" t="s">
        <v>51</v>
      </c>
      <c r="D171" t="s">
        <v>16</v>
      </c>
      <c r="E171">
        <v>1280.8599999999999</v>
      </c>
      <c r="F171" s="1">
        <v>44988</v>
      </c>
      <c r="G171" t="str">
        <f>_xlfn.XLOOKUP(B171,[1]appointments!$A$1:$A$201,[1]appointments!$B$1:$B$201, ,0)</f>
        <v>P043</v>
      </c>
      <c r="H171" t="str">
        <f>_xlfn.XLOOKUP(G171,[2]patients!$A$1:$A$51,[2]patients!$B$1:$B$51, ,0)</f>
        <v>Linda</v>
      </c>
      <c r="I171" t="str">
        <f>_xlfn.XLOOKUP(G171,[2]patients!$A$1:$A$51,[2]patients!$C$1:$C$51, ,0)</f>
        <v>Brown</v>
      </c>
      <c r="J171" t="str">
        <f>_xlfn.XLOOKUP(G171,[2]patients!$A$1:$A$51,[2]patients!$D$1:$D$51, ,0)</f>
        <v>M</v>
      </c>
      <c r="K171" t="str">
        <f>_xlfn.XLOOKUP(G171,[2]patients!$A$1:$A$51,[2]patients!$I$1:$I$51, ,0)</f>
        <v>WellnessCorp</v>
      </c>
      <c r="L171" t="str">
        <f>_xlfn.XLOOKUP(G171,[1]appointments!$B$1:$B$201,[1]appointments!$A$1:$A$201, ,0)</f>
        <v>A067</v>
      </c>
      <c r="M171" t="str">
        <f>_xlfn.XLOOKUP(G171,[1]appointments!$B$1:$B$201,[1]appointments!$F$1:$F$201, ,0)</f>
        <v>Follow-up</v>
      </c>
      <c r="N171" t="str">
        <f>_xlfn.XLOOKUP(P171,[3]doctors!$A$1:$A$11,[3]doctors!$B$1:$B$11, ,0)</f>
        <v>David</v>
      </c>
      <c r="O171" t="str">
        <f>_xlfn.XLOOKUP(P171,[3]doctors!$A$1:$A$11,[3]doctors!$C$1:$C$11, ,0)</f>
        <v>Taylor</v>
      </c>
      <c r="P171" t="str">
        <f>_xlfn.XLOOKUP(G171,[1]appointments!$B$1:$B$201,[1]appointments!$C$1:$C$201, ,0)</f>
        <v>D001</v>
      </c>
      <c r="Q171" t="str">
        <f>_xlfn.XLOOKUP(P171,[3]doctors!$A$1:$A$11,[3]doctors!$D$1:$D$11, ,0)</f>
        <v>Dermatology</v>
      </c>
      <c r="R171" t="str">
        <f>_xlfn.XLOOKUP(G171,[1]appointments!$B$1:$B$201,[1]appointments!$G$1:$G$201, ,0)</f>
        <v>Scheduled</v>
      </c>
      <c r="S171" s="1">
        <f>_xlfn.XLOOKUP(management_table[[#This Row],[ Patient Id]],[1]appointments!$B$1:$B$201,[1]appointments!$D$1:$D$201, ,0)</f>
        <v>45148</v>
      </c>
    </row>
    <row r="172" spans="1:19" x14ac:dyDescent="0.35">
      <c r="A172" t="s">
        <v>354</v>
      </c>
      <c r="B172" t="s">
        <v>355</v>
      </c>
      <c r="C172" t="s">
        <v>8</v>
      </c>
      <c r="D172" t="s">
        <v>16</v>
      </c>
      <c r="E172">
        <v>3627.28</v>
      </c>
      <c r="F172" s="1">
        <v>45034</v>
      </c>
      <c r="G172" t="str">
        <f>_xlfn.XLOOKUP(B172,[1]appointments!$A$1:$A$201,[1]appointments!$B$1:$B$201, ,0)</f>
        <v>P011</v>
      </c>
      <c r="H172" t="str">
        <f>_xlfn.XLOOKUP(G172,[2]patients!$A$1:$A$51,[2]patients!$B$1:$B$51, ,0)</f>
        <v>Emily</v>
      </c>
      <c r="I172" t="str">
        <f>_xlfn.XLOOKUP(G172,[2]patients!$A$1:$A$51,[2]patients!$C$1:$C$51, ,0)</f>
        <v>Jones</v>
      </c>
      <c r="J172" t="str">
        <f>_xlfn.XLOOKUP(G172,[2]patients!$A$1:$A$51,[2]patients!$D$1:$D$51, ,0)</f>
        <v>F</v>
      </c>
      <c r="K172" t="str">
        <f>_xlfn.XLOOKUP(G172,[2]patients!$A$1:$A$51,[2]patients!$I$1:$I$51, ,0)</f>
        <v>MedCare Plus</v>
      </c>
      <c r="L172" t="str">
        <f>_xlfn.XLOOKUP(G172,[1]appointments!$B$1:$B$201,[1]appointments!$A$1:$A$201, ,0)</f>
        <v>A099</v>
      </c>
      <c r="M172" t="str">
        <f>_xlfn.XLOOKUP(G172,[1]appointments!$B$1:$B$201,[1]appointments!$F$1:$F$201, ,0)</f>
        <v>Checkup</v>
      </c>
      <c r="N172" t="str">
        <f>_xlfn.XLOOKUP(P172,[3]doctors!$A$1:$A$11,[3]doctors!$B$1:$B$11, ,0)</f>
        <v>Robert</v>
      </c>
      <c r="O172" t="str">
        <f>_xlfn.XLOOKUP(P172,[3]doctors!$A$1:$A$11,[3]doctors!$C$1:$C$11, ,0)</f>
        <v>Davis</v>
      </c>
      <c r="P172" t="str">
        <f>_xlfn.XLOOKUP(G172,[1]appointments!$B$1:$B$201,[1]appointments!$C$1:$C$201, ,0)</f>
        <v>D007</v>
      </c>
      <c r="Q172" t="str">
        <f>_xlfn.XLOOKUP(P172,[3]doctors!$A$1:$A$11,[3]doctors!$D$1:$D$11, ,0)</f>
        <v>Oncology</v>
      </c>
      <c r="R172" t="str">
        <f>_xlfn.XLOOKUP(G172,[1]appointments!$B$1:$B$201,[1]appointments!$G$1:$G$201, ,0)</f>
        <v>Completed</v>
      </c>
      <c r="S172" s="1">
        <f>_xlfn.XLOOKUP(management_table[[#This Row],[ Patient Id]],[1]appointments!$B$1:$B$201,[1]appointments!$D$1:$D$201, ,0)</f>
        <v>45111</v>
      </c>
    </row>
    <row r="173" spans="1:19" x14ac:dyDescent="0.35">
      <c r="A173" t="s">
        <v>356</v>
      </c>
      <c r="B173" t="s">
        <v>357</v>
      </c>
      <c r="C173" t="s">
        <v>51</v>
      </c>
      <c r="D173" t="s">
        <v>16</v>
      </c>
      <c r="E173">
        <v>2057.4499999999998</v>
      </c>
      <c r="F173" s="1">
        <v>44994</v>
      </c>
      <c r="G173" t="str">
        <f>_xlfn.XLOOKUP(B173,[1]appointments!$A$1:$A$201,[1]appointments!$B$1:$B$201, ,0)</f>
        <v>P018</v>
      </c>
      <c r="H173" t="str">
        <f>_xlfn.XLOOKUP(G173,[2]patients!$A$1:$A$51,[2]patients!$B$1:$B$51, ,0)</f>
        <v>Laura</v>
      </c>
      <c r="I173" t="str">
        <f>_xlfn.XLOOKUP(G173,[2]patients!$A$1:$A$51,[2]patients!$C$1:$C$51, ,0)</f>
        <v>Wilson</v>
      </c>
      <c r="J173" t="str">
        <f>_xlfn.XLOOKUP(G173,[2]patients!$A$1:$A$51,[2]patients!$D$1:$D$51, ,0)</f>
        <v>M</v>
      </c>
      <c r="K173" t="str">
        <f>_xlfn.XLOOKUP(G173,[2]patients!$A$1:$A$51,[2]patients!$I$1:$I$51, ,0)</f>
        <v>PulseSecure</v>
      </c>
      <c r="L173" t="str">
        <f>_xlfn.XLOOKUP(G173,[1]appointments!$B$1:$B$201,[1]appointments!$A$1:$A$201, ,0)</f>
        <v>A114</v>
      </c>
      <c r="M173" t="str">
        <f>_xlfn.XLOOKUP(G173,[1]appointments!$B$1:$B$201,[1]appointments!$F$1:$F$201, ,0)</f>
        <v>Therapy</v>
      </c>
      <c r="N173" t="str">
        <f>_xlfn.XLOOKUP(P173,[3]doctors!$A$1:$A$11,[3]doctors!$B$1:$B$11, ,0)</f>
        <v>David</v>
      </c>
      <c r="O173" t="str">
        <f>_xlfn.XLOOKUP(P173,[3]doctors!$A$1:$A$11,[3]doctors!$C$1:$C$11, ,0)</f>
        <v>Taylor</v>
      </c>
      <c r="P173" t="str">
        <f>_xlfn.XLOOKUP(G173,[1]appointments!$B$1:$B$201,[1]appointments!$C$1:$C$201, ,0)</f>
        <v>D001</v>
      </c>
      <c r="Q173" t="str">
        <f>_xlfn.XLOOKUP(P173,[3]doctors!$A$1:$A$11,[3]doctors!$D$1:$D$11, ,0)</f>
        <v>Dermatology</v>
      </c>
      <c r="R173" t="str">
        <f>_xlfn.XLOOKUP(G173,[1]appointments!$B$1:$B$201,[1]appointments!$G$1:$G$201, ,0)</f>
        <v>Completed</v>
      </c>
      <c r="S173" s="1">
        <f>_xlfn.XLOOKUP(management_table[[#This Row],[ Patient Id]],[1]appointments!$B$1:$B$201,[1]appointments!$D$1:$D$201, ,0)</f>
        <v>45146</v>
      </c>
    </row>
    <row r="174" spans="1:19" x14ac:dyDescent="0.35">
      <c r="A174" t="s">
        <v>358</v>
      </c>
      <c r="B174" t="s">
        <v>359</v>
      </c>
      <c r="C174" t="s">
        <v>51</v>
      </c>
      <c r="D174" t="s">
        <v>16</v>
      </c>
      <c r="E174">
        <v>4890.25</v>
      </c>
      <c r="F174" s="1">
        <v>45081</v>
      </c>
      <c r="G174" t="str">
        <f>_xlfn.XLOOKUP(B174,[1]appointments!$A$1:$A$201,[1]appointments!$B$1:$B$201, ,0)</f>
        <v>P047</v>
      </c>
      <c r="H174" t="str">
        <f>_xlfn.XLOOKUP(G174,[2]patients!$A$1:$A$51,[2]patients!$B$1:$B$51, ,0)</f>
        <v>Jane</v>
      </c>
      <c r="I174" t="str">
        <f>_xlfn.XLOOKUP(G174,[2]patients!$A$1:$A$51,[2]patients!$C$1:$C$51, ,0)</f>
        <v>Moore</v>
      </c>
      <c r="J174" t="str">
        <f>_xlfn.XLOOKUP(G174,[2]patients!$A$1:$A$51,[2]patients!$D$1:$D$51, ,0)</f>
        <v>M</v>
      </c>
      <c r="K174" t="str">
        <f>_xlfn.XLOOKUP(G174,[2]patients!$A$1:$A$51,[2]patients!$I$1:$I$51, ,0)</f>
        <v>WellnessCorp</v>
      </c>
      <c r="L174" t="str">
        <f>_xlfn.XLOOKUP(G174,[1]appointments!$B$1:$B$201,[1]appointments!$A$1:$A$201, ,0)</f>
        <v>A023</v>
      </c>
      <c r="M174" t="str">
        <f>_xlfn.XLOOKUP(G174,[1]appointments!$B$1:$B$201,[1]appointments!$F$1:$F$201, ,0)</f>
        <v>Follow-up</v>
      </c>
      <c r="N174" t="str">
        <f>_xlfn.XLOOKUP(P174,[3]doctors!$A$1:$A$11,[3]doctors!$B$1:$B$11, ,0)</f>
        <v>Sarah</v>
      </c>
      <c r="O174" t="str">
        <f>_xlfn.XLOOKUP(P174,[3]doctors!$A$1:$A$11,[3]doctors!$C$1:$C$11, ,0)</f>
        <v>Smith</v>
      </c>
      <c r="P174" t="str">
        <f>_xlfn.XLOOKUP(G174,[1]appointments!$B$1:$B$201,[1]appointments!$C$1:$C$201, ,0)</f>
        <v>D009</v>
      </c>
      <c r="Q174" t="str">
        <f>_xlfn.XLOOKUP(P174,[3]doctors!$A$1:$A$11,[3]doctors!$D$1:$D$11, ,0)</f>
        <v>Pediatrics</v>
      </c>
      <c r="R174" t="str">
        <f>_xlfn.XLOOKUP(G174,[1]appointments!$B$1:$B$201,[1]appointments!$G$1:$G$201, ,0)</f>
        <v>Cancelled</v>
      </c>
      <c r="S174" s="1">
        <f>_xlfn.XLOOKUP(management_table[[#This Row],[ Patient Id]],[1]appointments!$B$1:$B$201,[1]appointments!$D$1:$D$201, ,0)</f>
        <v>45055</v>
      </c>
    </row>
    <row r="175" spans="1:19" x14ac:dyDescent="0.35">
      <c r="A175" t="s">
        <v>360</v>
      </c>
      <c r="B175" t="s">
        <v>361</v>
      </c>
      <c r="C175" t="s">
        <v>8</v>
      </c>
      <c r="D175" t="s">
        <v>16</v>
      </c>
      <c r="E175">
        <v>3384.37</v>
      </c>
      <c r="F175" s="1">
        <v>45230</v>
      </c>
      <c r="G175" t="str">
        <f>_xlfn.XLOOKUP(B175,[1]appointments!$A$1:$A$201,[1]appointments!$B$1:$B$201, ,0)</f>
        <v>P012</v>
      </c>
      <c r="H175" t="str">
        <f>_xlfn.XLOOKUP(G175,[2]patients!$A$1:$A$51,[2]patients!$B$1:$B$51, ,0)</f>
        <v>Laura</v>
      </c>
      <c r="I175" t="str">
        <f>_xlfn.XLOOKUP(G175,[2]patients!$A$1:$A$51,[2]patients!$C$1:$C$51, ,0)</f>
        <v>Davis</v>
      </c>
      <c r="J175" t="str">
        <f>_xlfn.XLOOKUP(G175,[2]patients!$A$1:$A$51,[2]patients!$D$1:$D$51, ,0)</f>
        <v>F</v>
      </c>
      <c r="K175" t="str">
        <f>_xlfn.XLOOKUP(G175,[2]patients!$A$1:$A$51,[2]patients!$I$1:$I$51, ,0)</f>
        <v>MedCare Plus</v>
      </c>
      <c r="L175" t="str">
        <f>_xlfn.XLOOKUP(G175,[1]appointments!$B$1:$B$201,[1]appointments!$A$1:$A$201, ,0)</f>
        <v>A014</v>
      </c>
      <c r="M175" t="str">
        <f>_xlfn.XLOOKUP(G175,[1]appointments!$B$1:$B$201,[1]appointments!$F$1:$F$201, ,0)</f>
        <v>Emergency</v>
      </c>
      <c r="N175" t="str">
        <f>_xlfn.XLOOKUP(P175,[3]doctors!$A$1:$A$11,[3]doctors!$B$1:$B$11, ,0)</f>
        <v>Linda</v>
      </c>
      <c r="O175" t="str">
        <f>_xlfn.XLOOKUP(P175,[3]doctors!$A$1:$A$11,[3]doctors!$C$1:$C$11, ,0)</f>
        <v>Wilson</v>
      </c>
      <c r="P175" t="str">
        <f>_xlfn.XLOOKUP(G175,[1]appointments!$B$1:$B$201,[1]appointments!$C$1:$C$201, ,0)</f>
        <v>D010</v>
      </c>
      <c r="Q175" t="str">
        <f>_xlfn.XLOOKUP(P175,[3]doctors!$A$1:$A$11,[3]doctors!$D$1:$D$11, ,0)</f>
        <v>Oncology</v>
      </c>
      <c r="R175" t="str">
        <f>_xlfn.XLOOKUP(G175,[1]appointments!$B$1:$B$201,[1]appointments!$G$1:$G$201, ,0)</f>
        <v>Cancelled</v>
      </c>
      <c r="S175" s="1">
        <f>_xlfn.XLOOKUP(management_table[[#This Row],[ Patient Id]],[1]appointments!$B$1:$B$201,[1]appointments!$D$1:$D$201, ,0)</f>
        <v>45071</v>
      </c>
    </row>
    <row r="176" spans="1:19" x14ac:dyDescent="0.35">
      <c r="A176" t="s">
        <v>362</v>
      </c>
      <c r="B176" t="s">
        <v>363</v>
      </c>
      <c r="C176" t="s">
        <v>51</v>
      </c>
      <c r="D176" t="s">
        <v>9</v>
      </c>
      <c r="E176">
        <v>4201.16</v>
      </c>
      <c r="F176" s="1">
        <v>45221</v>
      </c>
      <c r="G176" t="str">
        <f>_xlfn.XLOOKUP(B176,[1]appointments!$A$1:$A$201,[1]appointments!$B$1:$B$201, ,0)</f>
        <v>P009</v>
      </c>
      <c r="H176" t="str">
        <f>_xlfn.XLOOKUP(G176,[2]patients!$A$1:$A$51,[2]patients!$B$1:$B$51, ,0)</f>
        <v>Laura</v>
      </c>
      <c r="I176" t="str">
        <f>_xlfn.XLOOKUP(G176,[2]patients!$A$1:$A$51,[2]patients!$C$1:$C$51, ,0)</f>
        <v>Davis</v>
      </c>
      <c r="J176" t="str">
        <f>_xlfn.XLOOKUP(G176,[2]patients!$A$1:$A$51,[2]patients!$D$1:$D$51, ,0)</f>
        <v>M</v>
      </c>
      <c r="K176" t="str">
        <f>_xlfn.XLOOKUP(G176,[2]patients!$A$1:$A$51,[2]patients!$I$1:$I$51, ,0)</f>
        <v>PulseSecure</v>
      </c>
      <c r="L176" t="str">
        <f>_xlfn.XLOOKUP(G176,[1]appointments!$B$1:$B$201,[1]appointments!$A$1:$A$201, ,0)</f>
        <v>A107</v>
      </c>
      <c r="M176" t="str">
        <f>_xlfn.XLOOKUP(G176,[1]appointments!$B$1:$B$201,[1]appointments!$F$1:$F$201, ,0)</f>
        <v>Follow-up</v>
      </c>
      <c r="N176" t="str">
        <f>_xlfn.XLOOKUP(P176,[3]doctors!$A$1:$A$11,[3]doctors!$B$1:$B$11, ,0)</f>
        <v>Robert</v>
      </c>
      <c r="O176" t="str">
        <f>_xlfn.XLOOKUP(P176,[3]doctors!$A$1:$A$11,[3]doctors!$C$1:$C$11, ,0)</f>
        <v>Davis</v>
      </c>
      <c r="P176" t="str">
        <f>_xlfn.XLOOKUP(G176,[1]appointments!$B$1:$B$201,[1]appointments!$C$1:$C$201, ,0)</f>
        <v>D007</v>
      </c>
      <c r="Q176" t="str">
        <f>_xlfn.XLOOKUP(P176,[3]doctors!$A$1:$A$11,[3]doctors!$D$1:$D$11, ,0)</f>
        <v>Oncology</v>
      </c>
      <c r="R176" t="str">
        <f>_xlfn.XLOOKUP(G176,[1]appointments!$B$1:$B$201,[1]appointments!$G$1:$G$201, ,0)</f>
        <v>Completed</v>
      </c>
      <c r="S176" s="1">
        <f>_xlfn.XLOOKUP(management_table[[#This Row],[ Patient Id]],[1]appointments!$B$1:$B$201,[1]appointments!$D$1:$D$201, ,0)</f>
        <v>45033</v>
      </c>
    </row>
    <row r="177" spans="1:19" x14ac:dyDescent="0.35">
      <c r="A177" t="s">
        <v>364</v>
      </c>
      <c r="B177" t="s">
        <v>365</v>
      </c>
      <c r="C177" t="s">
        <v>12</v>
      </c>
      <c r="D177" t="s">
        <v>13</v>
      </c>
      <c r="E177">
        <v>1096.3599999999999</v>
      </c>
      <c r="F177" s="1">
        <v>45042</v>
      </c>
      <c r="G177" t="str">
        <f>_xlfn.XLOOKUP(B177,[1]appointments!$A$1:$A$201,[1]appointments!$B$1:$B$201, ,0)</f>
        <v>P010</v>
      </c>
      <c r="H177" t="str">
        <f>_xlfn.XLOOKUP(G177,[2]patients!$A$1:$A$51,[2]patients!$B$1:$B$51, ,0)</f>
        <v>Michael</v>
      </c>
      <c r="I177" t="str">
        <f>_xlfn.XLOOKUP(G177,[2]patients!$A$1:$A$51,[2]patients!$C$1:$C$51, ,0)</f>
        <v>Taylor</v>
      </c>
      <c r="J177" t="str">
        <f>_xlfn.XLOOKUP(G177,[2]patients!$A$1:$A$51,[2]patients!$D$1:$D$51, ,0)</f>
        <v>M</v>
      </c>
      <c r="K177" t="str">
        <f>_xlfn.XLOOKUP(G177,[2]patients!$A$1:$A$51,[2]patients!$I$1:$I$51, ,0)</f>
        <v>WellnessCorp</v>
      </c>
      <c r="L177" t="str">
        <f>_xlfn.XLOOKUP(G177,[1]appointments!$B$1:$B$201,[1]appointments!$A$1:$A$201, ,0)</f>
        <v>A040</v>
      </c>
      <c r="M177" t="str">
        <f>_xlfn.XLOOKUP(G177,[1]appointments!$B$1:$B$201,[1]appointments!$F$1:$F$201, ,0)</f>
        <v>Therapy</v>
      </c>
      <c r="N177" t="str">
        <f>_xlfn.XLOOKUP(P177,[3]doctors!$A$1:$A$11,[3]doctors!$B$1:$B$11, ,0)</f>
        <v>Sarah</v>
      </c>
      <c r="O177" t="str">
        <f>_xlfn.XLOOKUP(P177,[3]doctors!$A$1:$A$11,[3]doctors!$C$1:$C$11, ,0)</f>
        <v>Smith</v>
      </c>
      <c r="P177" t="str">
        <f>_xlfn.XLOOKUP(G177,[1]appointments!$B$1:$B$201,[1]appointments!$C$1:$C$201, ,0)</f>
        <v>D009</v>
      </c>
      <c r="Q177" t="str">
        <f>_xlfn.XLOOKUP(P177,[3]doctors!$A$1:$A$11,[3]doctors!$D$1:$D$11, ,0)</f>
        <v>Pediatrics</v>
      </c>
      <c r="R177" t="str">
        <f>_xlfn.XLOOKUP(G177,[1]appointments!$B$1:$B$201,[1]appointments!$G$1:$G$201, ,0)</f>
        <v>Completed</v>
      </c>
      <c r="S177" s="1">
        <f>_xlfn.XLOOKUP(management_table[[#This Row],[ Patient Id]],[1]appointments!$B$1:$B$201,[1]appointments!$D$1:$D$201, ,0)</f>
        <v>45012</v>
      </c>
    </row>
    <row r="178" spans="1:19" x14ac:dyDescent="0.35">
      <c r="A178" t="s">
        <v>366</v>
      </c>
      <c r="B178" t="s">
        <v>367</v>
      </c>
      <c r="C178" t="s">
        <v>12</v>
      </c>
      <c r="D178" t="s">
        <v>13</v>
      </c>
      <c r="E178">
        <v>4379.07</v>
      </c>
      <c r="F178" s="1">
        <v>45154</v>
      </c>
      <c r="G178" t="str">
        <f>_xlfn.XLOOKUP(B178,[1]appointments!$A$1:$A$201,[1]appointments!$B$1:$B$201, ,0)</f>
        <v>P044</v>
      </c>
      <c r="H178" t="str">
        <f>_xlfn.XLOOKUP(G178,[2]patients!$A$1:$A$51,[2]patients!$B$1:$B$51, ,0)</f>
        <v>Robert</v>
      </c>
      <c r="I178" t="str">
        <f>_xlfn.XLOOKUP(G178,[2]patients!$A$1:$A$51,[2]patients!$C$1:$C$51, ,0)</f>
        <v>Taylor</v>
      </c>
      <c r="J178" t="str">
        <f>_xlfn.XLOOKUP(G178,[2]patients!$A$1:$A$51,[2]patients!$D$1:$D$51, ,0)</f>
        <v>F</v>
      </c>
      <c r="K178" t="str">
        <f>_xlfn.XLOOKUP(G178,[2]patients!$A$1:$A$51,[2]patients!$I$1:$I$51, ,0)</f>
        <v>PulseSecure</v>
      </c>
      <c r="L178" t="str">
        <f>_xlfn.XLOOKUP(G178,[1]appointments!$B$1:$B$201,[1]appointments!$A$1:$A$201, ,0)</f>
        <v>A076</v>
      </c>
      <c r="M178" t="str">
        <f>_xlfn.XLOOKUP(G178,[1]appointments!$B$1:$B$201,[1]appointments!$F$1:$F$201, ,0)</f>
        <v>Therapy</v>
      </c>
      <c r="N178" t="str">
        <f>_xlfn.XLOOKUP(P178,[3]doctors!$A$1:$A$11,[3]doctors!$B$1:$B$11, ,0)</f>
        <v>Jane</v>
      </c>
      <c r="O178" t="str">
        <f>_xlfn.XLOOKUP(P178,[3]doctors!$A$1:$A$11,[3]doctors!$C$1:$C$11, ,0)</f>
        <v>Davis</v>
      </c>
      <c r="P178" t="str">
        <f>_xlfn.XLOOKUP(G178,[1]appointments!$B$1:$B$201,[1]appointments!$C$1:$C$201, ,0)</f>
        <v>D002</v>
      </c>
      <c r="Q178" t="str">
        <f>_xlfn.XLOOKUP(P178,[3]doctors!$A$1:$A$11,[3]doctors!$D$1:$D$11, ,0)</f>
        <v>Pediatrics</v>
      </c>
      <c r="R178" t="str">
        <f>_xlfn.XLOOKUP(G178,[1]appointments!$B$1:$B$201,[1]appointments!$G$1:$G$201, ,0)</f>
        <v>Cancelled</v>
      </c>
      <c r="S178" s="1">
        <f>_xlfn.XLOOKUP(management_table[[#This Row],[ Patient Id]],[1]appointments!$B$1:$B$201,[1]appointments!$D$1:$D$201, ,0)</f>
        <v>45257</v>
      </c>
    </row>
    <row r="179" spans="1:19" x14ac:dyDescent="0.35">
      <c r="A179" t="s">
        <v>368</v>
      </c>
      <c r="B179" t="s">
        <v>369</v>
      </c>
      <c r="C179" t="s">
        <v>51</v>
      </c>
      <c r="D179" t="s">
        <v>9</v>
      </c>
      <c r="E179">
        <v>4652.41</v>
      </c>
      <c r="F179" s="1">
        <v>44943</v>
      </c>
      <c r="G179" t="str">
        <f>_xlfn.XLOOKUP(B179,[1]appointments!$A$1:$A$201,[1]appointments!$B$1:$B$201, ,0)</f>
        <v>P017</v>
      </c>
      <c r="H179" t="str">
        <f>_xlfn.XLOOKUP(G179,[2]patients!$A$1:$A$51,[2]patients!$B$1:$B$51, ,0)</f>
        <v>Jane</v>
      </c>
      <c r="I179" t="str">
        <f>_xlfn.XLOOKUP(G179,[2]patients!$A$1:$A$51,[2]patients!$C$1:$C$51, ,0)</f>
        <v>Jones</v>
      </c>
      <c r="J179" t="str">
        <f>_xlfn.XLOOKUP(G179,[2]patients!$A$1:$A$51,[2]patients!$D$1:$D$51, ,0)</f>
        <v>M</v>
      </c>
      <c r="K179" t="str">
        <f>_xlfn.XLOOKUP(G179,[2]patients!$A$1:$A$51,[2]patients!$I$1:$I$51, ,0)</f>
        <v>WellnessCorp</v>
      </c>
      <c r="L179" t="str">
        <f>_xlfn.XLOOKUP(G179,[1]appointments!$B$1:$B$201,[1]appointments!$A$1:$A$201, ,0)</f>
        <v>A086</v>
      </c>
      <c r="M179" t="str">
        <f>_xlfn.XLOOKUP(G179,[1]appointments!$B$1:$B$201,[1]appointments!$F$1:$F$201, ,0)</f>
        <v>Consultation</v>
      </c>
      <c r="N179" t="str">
        <f>_xlfn.XLOOKUP(P179,[3]doctors!$A$1:$A$11,[3]doctors!$B$1:$B$11, ,0)</f>
        <v>Jane</v>
      </c>
      <c r="O179" t="str">
        <f>_xlfn.XLOOKUP(P179,[3]doctors!$A$1:$A$11,[3]doctors!$C$1:$C$11, ,0)</f>
        <v>Davis</v>
      </c>
      <c r="P179" t="str">
        <f>_xlfn.XLOOKUP(G179,[1]appointments!$B$1:$B$201,[1]appointments!$C$1:$C$201, ,0)</f>
        <v>D002</v>
      </c>
      <c r="Q179" t="str">
        <f>_xlfn.XLOOKUP(P179,[3]doctors!$A$1:$A$11,[3]doctors!$D$1:$D$11, ,0)</f>
        <v>Pediatrics</v>
      </c>
      <c r="R179" t="str">
        <f>_xlfn.XLOOKUP(G179,[1]appointments!$B$1:$B$201,[1]appointments!$G$1:$G$201, ,0)</f>
        <v>Cancelled</v>
      </c>
      <c r="S179" s="1">
        <f>_xlfn.XLOOKUP(management_table[[#This Row],[ Patient Id]],[1]appointments!$B$1:$B$201,[1]appointments!$D$1:$D$201, ,0)</f>
        <v>45228</v>
      </c>
    </row>
    <row r="180" spans="1:19" x14ac:dyDescent="0.35">
      <c r="A180" t="s">
        <v>370</v>
      </c>
      <c r="B180" t="s">
        <v>371</v>
      </c>
      <c r="C180" t="s">
        <v>28</v>
      </c>
      <c r="D180" t="s">
        <v>9</v>
      </c>
      <c r="E180">
        <v>2691.78</v>
      </c>
      <c r="F180" s="1">
        <v>44993</v>
      </c>
      <c r="G180" t="str">
        <f>_xlfn.XLOOKUP(B180,[1]appointments!$A$1:$A$201,[1]appointments!$B$1:$B$201, ,0)</f>
        <v>P038</v>
      </c>
      <c r="H180" t="str">
        <f>_xlfn.XLOOKUP(G180,[2]patients!$A$1:$A$51,[2]patients!$B$1:$B$51, ,0)</f>
        <v>David</v>
      </c>
      <c r="I180" t="str">
        <f>_xlfn.XLOOKUP(G180,[2]patients!$A$1:$A$51,[2]patients!$C$1:$C$51, ,0)</f>
        <v>Smith</v>
      </c>
      <c r="J180" t="str">
        <f>_xlfn.XLOOKUP(G180,[2]patients!$A$1:$A$51,[2]patients!$D$1:$D$51, ,0)</f>
        <v>M</v>
      </c>
      <c r="K180" t="str">
        <f>_xlfn.XLOOKUP(G180,[2]patients!$A$1:$A$51,[2]patients!$I$1:$I$51, ,0)</f>
        <v>MedCare Plus</v>
      </c>
      <c r="L180" t="str">
        <f>_xlfn.XLOOKUP(G180,[1]appointments!$B$1:$B$201,[1]appointments!$A$1:$A$201, ,0)</f>
        <v>A179</v>
      </c>
      <c r="M180" t="str">
        <f>_xlfn.XLOOKUP(G180,[1]appointments!$B$1:$B$201,[1]appointments!$F$1:$F$201, ,0)</f>
        <v>Checkup</v>
      </c>
      <c r="N180" t="str">
        <f>_xlfn.XLOOKUP(P180,[3]doctors!$A$1:$A$11,[3]doctors!$B$1:$B$11, ,0)</f>
        <v>Alex</v>
      </c>
      <c r="O180" t="str">
        <f>_xlfn.XLOOKUP(P180,[3]doctors!$A$1:$A$11,[3]doctors!$C$1:$C$11, ,0)</f>
        <v>Davis</v>
      </c>
      <c r="P180" t="str">
        <f>_xlfn.XLOOKUP(G180,[1]appointments!$B$1:$B$201,[1]appointments!$C$1:$C$201, ,0)</f>
        <v>D006</v>
      </c>
      <c r="Q180" t="str">
        <f>_xlfn.XLOOKUP(P180,[3]doctors!$A$1:$A$11,[3]doctors!$D$1:$D$11, ,0)</f>
        <v>Pediatrics</v>
      </c>
      <c r="R180" t="str">
        <f>_xlfn.XLOOKUP(G180,[1]appointments!$B$1:$B$201,[1]appointments!$G$1:$G$201, ,0)</f>
        <v>Completed</v>
      </c>
      <c r="S180" s="1">
        <f>_xlfn.XLOOKUP(management_table[[#This Row],[ Patient Id]],[1]appointments!$B$1:$B$201,[1]appointments!$D$1:$D$201, ,0)</f>
        <v>44993</v>
      </c>
    </row>
    <row r="181" spans="1:19" x14ac:dyDescent="0.35">
      <c r="A181" t="s">
        <v>372</v>
      </c>
      <c r="B181" t="s">
        <v>373</v>
      </c>
      <c r="C181" t="s">
        <v>8</v>
      </c>
      <c r="D181" t="s">
        <v>13</v>
      </c>
      <c r="E181">
        <v>3228.14</v>
      </c>
      <c r="F181" s="1">
        <v>44933</v>
      </c>
      <c r="G181" t="str">
        <f>_xlfn.XLOOKUP(B181,[1]appointments!$A$1:$A$201,[1]appointments!$B$1:$B$201, ,0)</f>
        <v>P007</v>
      </c>
      <c r="H181" t="str">
        <f>_xlfn.XLOOKUP(G181,[2]patients!$A$1:$A$51,[2]patients!$B$1:$B$51, ,0)</f>
        <v>Alex</v>
      </c>
      <c r="I181" t="str">
        <f>_xlfn.XLOOKUP(G181,[2]patients!$A$1:$A$51,[2]patients!$C$1:$C$51, ,0)</f>
        <v>Johnson</v>
      </c>
      <c r="J181" t="str">
        <f>_xlfn.XLOOKUP(G181,[2]patients!$A$1:$A$51,[2]patients!$D$1:$D$51, ,0)</f>
        <v>F</v>
      </c>
      <c r="K181" t="str">
        <f>_xlfn.XLOOKUP(G181,[2]patients!$A$1:$A$51,[2]patients!$I$1:$I$51, ,0)</f>
        <v>MedCare Plus</v>
      </c>
      <c r="L181" t="str">
        <f>_xlfn.XLOOKUP(G181,[1]appointments!$B$1:$B$201,[1]appointments!$A$1:$A$201, ,0)</f>
        <v>A095</v>
      </c>
      <c r="M181" t="str">
        <f>_xlfn.XLOOKUP(G181,[1]appointments!$B$1:$B$201,[1]appointments!$F$1:$F$201, ,0)</f>
        <v>Therapy</v>
      </c>
      <c r="N181" t="str">
        <f>_xlfn.XLOOKUP(P181,[3]doctors!$A$1:$A$11,[3]doctors!$B$1:$B$11, ,0)</f>
        <v>Sarah</v>
      </c>
      <c r="O181" t="str">
        <f>_xlfn.XLOOKUP(P181,[3]doctors!$A$1:$A$11,[3]doctors!$C$1:$C$11, ,0)</f>
        <v>Smith</v>
      </c>
      <c r="P181" t="str">
        <f>_xlfn.XLOOKUP(G181,[1]appointments!$B$1:$B$201,[1]appointments!$C$1:$C$201, ,0)</f>
        <v>D009</v>
      </c>
      <c r="Q181" t="str">
        <f>_xlfn.XLOOKUP(P181,[3]doctors!$A$1:$A$11,[3]doctors!$D$1:$D$11, ,0)</f>
        <v>Pediatrics</v>
      </c>
      <c r="R181" t="str">
        <f>_xlfn.XLOOKUP(G181,[1]appointments!$B$1:$B$201,[1]appointments!$G$1:$G$201, ,0)</f>
        <v>Cancelled</v>
      </c>
      <c r="S181" s="1">
        <f>_xlfn.XLOOKUP(management_table[[#This Row],[ Patient Id]],[1]appointments!$B$1:$B$201,[1]appointments!$D$1:$D$201, ,0)</f>
        <v>45055</v>
      </c>
    </row>
    <row r="182" spans="1:19" x14ac:dyDescent="0.35">
      <c r="A182" t="s">
        <v>374</v>
      </c>
      <c r="B182" t="s">
        <v>375</v>
      </c>
      <c r="C182" t="s">
        <v>12</v>
      </c>
      <c r="D182" t="s">
        <v>13</v>
      </c>
      <c r="E182">
        <v>3941.64</v>
      </c>
      <c r="F182" s="1">
        <v>45172</v>
      </c>
      <c r="G182" t="str">
        <f>_xlfn.XLOOKUP(B182,[1]appointments!$A$1:$A$201,[1]appointments!$B$1:$B$201, ,0)</f>
        <v>P046</v>
      </c>
      <c r="H182" t="str">
        <f>_xlfn.XLOOKUP(G182,[2]patients!$A$1:$A$51,[2]patients!$B$1:$B$51, ,0)</f>
        <v>Michael</v>
      </c>
      <c r="I182" t="str">
        <f>_xlfn.XLOOKUP(G182,[2]patients!$A$1:$A$51,[2]patients!$C$1:$C$51, ,0)</f>
        <v>Taylor</v>
      </c>
      <c r="J182" t="str">
        <f>_xlfn.XLOOKUP(G182,[2]patients!$A$1:$A$51,[2]patients!$D$1:$D$51, ,0)</f>
        <v>F</v>
      </c>
      <c r="K182" t="str">
        <f>_xlfn.XLOOKUP(G182,[2]patients!$A$1:$A$51,[2]patients!$I$1:$I$51, ,0)</f>
        <v>MedCare Plus</v>
      </c>
      <c r="L182" t="str">
        <f>_xlfn.XLOOKUP(G182,[1]appointments!$B$1:$B$201,[1]appointments!$A$1:$A$201, ,0)</f>
        <v>A026</v>
      </c>
      <c r="M182" t="str">
        <f>_xlfn.XLOOKUP(G182,[1]appointments!$B$1:$B$201,[1]appointments!$F$1:$F$201, ,0)</f>
        <v>Follow-up</v>
      </c>
      <c r="N182" t="str">
        <f>_xlfn.XLOOKUP(P182,[3]doctors!$A$1:$A$11,[3]doctors!$B$1:$B$11, ,0)</f>
        <v>Alex</v>
      </c>
      <c r="O182" t="str">
        <f>_xlfn.XLOOKUP(P182,[3]doctors!$A$1:$A$11,[3]doctors!$C$1:$C$11, ,0)</f>
        <v>Davis</v>
      </c>
      <c r="P182" t="str">
        <f>_xlfn.XLOOKUP(G182,[1]appointments!$B$1:$B$201,[1]appointments!$C$1:$C$201, ,0)</f>
        <v>D006</v>
      </c>
      <c r="Q182" t="str">
        <f>_xlfn.XLOOKUP(P182,[3]doctors!$A$1:$A$11,[3]doctors!$D$1:$D$11, ,0)</f>
        <v>Pediatrics</v>
      </c>
      <c r="R182" t="str">
        <f>_xlfn.XLOOKUP(G182,[1]appointments!$B$1:$B$201,[1]appointments!$G$1:$G$201, ,0)</f>
        <v>Cancelled</v>
      </c>
      <c r="S182" s="1">
        <f>_xlfn.XLOOKUP(management_table[[#This Row],[ Patient Id]],[1]appointments!$B$1:$B$201,[1]appointments!$D$1:$D$201, ,0)</f>
        <v>45002</v>
      </c>
    </row>
    <row r="183" spans="1:19" x14ac:dyDescent="0.35">
      <c r="A183" t="s">
        <v>376</v>
      </c>
      <c r="B183" t="s">
        <v>377</v>
      </c>
      <c r="C183" t="s">
        <v>28</v>
      </c>
      <c r="D183" t="s">
        <v>13</v>
      </c>
      <c r="E183">
        <v>1286.77</v>
      </c>
      <c r="F183" s="1">
        <v>45028</v>
      </c>
      <c r="G183" t="str">
        <f>_xlfn.XLOOKUP(B183,[1]appointments!$A$1:$A$201,[1]appointments!$B$1:$B$201, ,0)</f>
        <v>P013</v>
      </c>
      <c r="H183" t="str">
        <f>_xlfn.XLOOKUP(G183,[2]patients!$A$1:$A$51,[2]patients!$B$1:$B$51, ,0)</f>
        <v>Laura</v>
      </c>
      <c r="I183" t="str">
        <f>_xlfn.XLOOKUP(G183,[2]patients!$A$1:$A$51,[2]patients!$C$1:$C$51, ,0)</f>
        <v>Johnson</v>
      </c>
      <c r="J183" t="str">
        <f>_xlfn.XLOOKUP(G183,[2]patients!$A$1:$A$51,[2]patients!$D$1:$D$51, ,0)</f>
        <v>F</v>
      </c>
      <c r="K183" t="str">
        <f>_xlfn.XLOOKUP(G183,[2]patients!$A$1:$A$51,[2]patients!$I$1:$I$51, ,0)</f>
        <v>WellnessCorp</v>
      </c>
      <c r="L183" t="str">
        <f>_xlfn.XLOOKUP(G183,[1]appointments!$B$1:$B$201,[1]appointments!$A$1:$A$201, ,0)</f>
        <v>A078</v>
      </c>
      <c r="M183" t="str">
        <f>_xlfn.XLOOKUP(G183,[1]appointments!$B$1:$B$201,[1]appointments!$F$1:$F$201, ,0)</f>
        <v>Consultation</v>
      </c>
      <c r="N183" t="str">
        <f>_xlfn.XLOOKUP(P183,[3]doctors!$A$1:$A$11,[3]doctors!$B$1:$B$11, ,0)</f>
        <v>Linda</v>
      </c>
      <c r="O183" t="str">
        <f>_xlfn.XLOOKUP(P183,[3]doctors!$A$1:$A$11,[3]doctors!$C$1:$C$11, ,0)</f>
        <v>Brown</v>
      </c>
      <c r="P183" t="str">
        <f>_xlfn.XLOOKUP(G183,[1]appointments!$B$1:$B$201,[1]appointments!$C$1:$C$201, ,0)</f>
        <v>D008</v>
      </c>
      <c r="Q183" t="str">
        <f>_xlfn.XLOOKUP(P183,[3]doctors!$A$1:$A$11,[3]doctors!$D$1:$D$11, ,0)</f>
        <v>Dermatology</v>
      </c>
      <c r="R183" t="str">
        <f>_xlfn.XLOOKUP(G183,[1]appointments!$B$1:$B$201,[1]appointments!$G$1:$G$201, ,0)</f>
        <v>No-show</v>
      </c>
      <c r="S183" s="1">
        <f>_xlfn.XLOOKUP(management_table[[#This Row],[ Patient Id]],[1]appointments!$B$1:$B$201,[1]appointments!$D$1:$D$201, ,0)</f>
        <v>45186</v>
      </c>
    </row>
    <row r="184" spans="1:19" x14ac:dyDescent="0.35">
      <c r="A184" t="s">
        <v>378</v>
      </c>
      <c r="B184" t="s">
        <v>379</v>
      </c>
      <c r="C184" t="s">
        <v>51</v>
      </c>
      <c r="D184" t="s">
        <v>13</v>
      </c>
      <c r="E184">
        <v>2761.55</v>
      </c>
      <c r="F184" s="1">
        <v>44960</v>
      </c>
      <c r="G184" t="str">
        <f>_xlfn.XLOOKUP(B184,[1]appointments!$A$1:$A$201,[1]appointments!$B$1:$B$201, ,0)</f>
        <v>P040</v>
      </c>
      <c r="H184" t="str">
        <f>_xlfn.XLOOKUP(G184,[2]patients!$A$1:$A$51,[2]patients!$B$1:$B$51, ,0)</f>
        <v>Emily</v>
      </c>
      <c r="I184" t="str">
        <f>_xlfn.XLOOKUP(G184,[2]patients!$A$1:$A$51,[2]patients!$C$1:$C$51, ,0)</f>
        <v>Williams</v>
      </c>
      <c r="J184" t="str">
        <f>_xlfn.XLOOKUP(G184,[2]patients!$A$1:$A$51,[2]patients!$D$1:$D$51, ,0)</f>
        <v>M</v>
      </c>
      <c r="K184" t="str">
        <f>_xlfn.XLOOKUP(G184,[2]patients!$A$1:$A$51,[2]patients!$I$1:$I$51, ,0)</f>
        <v>PulseSecure</v>
      </c>
      <c r="L184" t="str">
        <f>_xlfn.XLOOKUP(G184,[1]appointments!$B$1:$B$201,[1]appointments!$A$1:$A$201, ,0)</f>
        <v>A005</v>
      </c>
      <c r="M184" t="str">
        <f>_xlfn.XLOOKUP(G184,[1]appointments!$B$1:$B$201,[1]appointments!$F$1:$F$201, ,0)</f>
        <v>Emergency</v>
      </c>
      <c r="N184" t="str">
        <f>_xlfn.XLOOKUP(P184,[3]doctors!$A$1:$A$11,[3]doctors!$B$1:$B$11, ,0)</f>
        <v>Jane</v>
      </c>
      <c r="O184" t="str">
        <f>_xlfn.XLOOKUP(P184,[3]doctors!$A$1:$A$11,[3]doctors!$C$1:$C$11, ,0)</f>
        <v>Smith</v>
      </c>
      <c r="P184" t="str">
        <f>_xlfn.XLOOKUP(G184,[1]appointments!$B$1:$B$201,[1]appointments!$C$1:$C$201, ,0)</f>
        <v>D003</v>
      </c>
      <c r="Q184" t="str">
        <f>_xlfn.XLOOKUP(P184,[3]doctors!$A$1:$A$11,[3]doctors!$D$1:$D$11, ,0)</f>
        <v>Pediatrics</v>
      </c>
      <c r="R184" t="str">
        <f>_xlfn.XLOOKUP(G184,[1]appointments!$B$1:$B$201,[1]appointments!$G$1:$G$201, ,0)</f>
        <v>No-show</v>
      </c>
      <c r="S184" s="1">
        <f>_xlfn.XLOOKUP(management_table[[#This Row],[ Patient Id]],[1]appointments!$B$1:$B$201,[1]appointments!$D$1:$D$201, ,0)</f>
        <v>45113</v>
      </c>
    </row>
    <row r="185" spans="1:19" x14ac:dyDescent="0.35">
      <c r="A185" t="s">
        <v>380</v>
      </c>
      <c r="B185" t="s">
        <v>381</v>
      </c>
      <c r="C185" t="s">
        <v>28</v>
      </c>
      <c r="D185" t="s">
        <v>13</v>
      </c>
      <c r="E185">
        <v>2293.98</v>
      </c>
      <c r="F185" s="1">
        <v>44983</v>
      </c>
      <c r="G185" t="str">
        <f>_xlfn.XLOOKUP(B185,[1]appointments!$A$1:$A$201,[1]appointments!$B$1:$B$201, ,0)</f>
        <v>P042</v>
      </c>
      <c r="H185" t="str">
        <f>_xlfn.XLOOKUP(G185,[2]patients!$A$1:$A$51,[2]patients!$B$1:$B$51, ,0)</f>
        <v>Jane</v>
      </c>
      <c r="I185" t="str">
        <f>_xlfn.XLOOKUP(G185,[2]patients!$A$1:$A$51,[2]patients!$C$1:$C$51, ,0)</f>
        <v>Smith</v>
      </c>
      <c r="J185" t="str">
        <f>_xlfn.XLOOKUP(G185,[2]patients!$A$1:$A$51,[2]patients!$D$1:$D$51, ,0)</f>
        <v>F</v>
      </c>
      <c r="K185" t="str">
        <f>_xlfn.XLOOKUP(G185,[2]patients!$A$1:$A$51,[2]patients!$I$1:$I$51, ,0)</f>
        <v>MedCare Plus</v>
      </c>
      <c r="L185" t="str">
        <f>_xlfn.XLOOKUP(G185,[1]appointments!$B$1:$B$201,[1]appointments!$A$1:$A$201, ,0)</f>
        <v>A162</v>
      </c>
      <c r="M185" t="str">
        <f>_xlfn.XLOOKUP(G185,[1]appointments!$B$1:$B$201,[1]appointments!$F$1:$F$201, ,0)</f>
        <v>Emergency</v>
      </c>
      <c r="N185" t="str">
        <f>_xlfn.XLOOKUP(P185,[3]doctors!$A$1:$A$11,[3]doctors!$B$1:$B$11, ,0)</f>
        <v>David</v>
      </c>
      <c r="O185" t="str">
        <f>_xlfn.XLOOKUP(P185,[3]doctors!$A$1:$A$11,[3]doctors!$C$1:$C$11, ,0)</f>
        <v>Jones</v>
      </c>
      <c r="P185" t="str">
        <f>_xlfn.XLOOKUP(G185,[1]appointments!$B$1:$B$201,[1]appointments!$C$1:$C$201, ,0)</f>
        <v>D004</v>
      </c>
      <c r="Q185" t="str">
        <f>_xlfn.XLOOKUP(P185,[3]doctors!$A$1:$A$11,[3]doctors!$D$1:$D$11, ,0)</f>
        <v>Pediatrics</v>
      </c>
      <c r="R185" t="str">
        <f>_xlfn.XLOOKUP(G185,[1]appointments!$B$1:$B$201,[1]appointments!$G$1:$G$201, ,0)</f>
        <v>No-show</v>
      </c>
      <c r="S185" s="1">
        <f>_xlfn.XLOOKUP(management_table[[#This Row],[ Patient Id]],[1]appointments!$B$1:$B$201,[1]appointments!$D$1:$D$201, ,0)</f>
        <v>44927</v>
      </c>
    </row>
    <row r="186" spans="1:19" x14ac:dyDescent="0.35">
      <c r="A186" t="s">
        <v>382</v>
      </c>
      <c r="B186" t="s">
        <v>383</v>
      </c>
      <c r="C186" t="s">
        <v>21</v>
      </c>
      <c r="D186" t="s">
        <v>16</v>
      </c>
      <c r="E186">
        <v>1158.68</v>
      </c>
      <c r="F186" s="1">
        <v>45006</v>
      </c>
      <c r="G186" t="str">
        <f>_xlfn.XLOOKUP(B186,[1]appointments!$A$1:$A$201,[1]appointments!$B$1:$B$201, ,0)</f>
        <v>P009</v>
      </c>
      <c r="H186" t="str">
        <f>_xlfn.XLOOKUP(G186,[2]patients!$A$1:$A$51,[2]patients!$B$1:$B$51, ,0)</f>
        <v>Laura</v>
      </c>
      <c r="I186" t="str">
        <f>_xlfn.XLOOKUP(G186,[2]patients!$A$1:$A$51,[2]patients!$C$1:$C$51, ,0)</f>
        <v>Davis</v>
      </c>
      <c r="J186" t="str">
        <f>_xlfn.XLOOKUP(G186,[2]patients!$A$1:$A$51,[2]patients!$D$1:$D$51, ,0)</f>
        <v>M</v>
      </c>
      <c r="K186" t="str">
        <f>_xlfn.XLOOKUP(G186,[2]patients!$A$1:$A$51,[2]patients!$I$1:$I$51, ,0)</f>
        <v>PulseSecure</v>
      </c>
      <c r="L186" t="str">
        <f>_xlfn.XLOOKUP(G186,[1]appointments!$B$1:$B$201,[1]appointments!$A$1:$A$201, ,0)</f>
        <v>A107</v>
      </c>
      <c r="M186" t="str">
        <f>_xlfn.XLOOKUP(G186,[1]appointments!$B$1:$B$201,[1]appointments!$F$1:$F$201, ,0)</f>
        <v>Follow-up</v>
      </c>
      <c r="N186" t="str">
        <f>_xlfn.XLOOKUP(P186,[3]doctors!$A$1:$A$11,[3]doctors!$B$1:$B$11, ,0)</f>
        <v>Robert</v>
      </c>
      <c r="O186" t="str">
        <f>_xlfn.XLOOKUP(P186,[3]doctors!$A$1:$A$11,[3]doctors!$C$1:$C$11, ,0)</f>
        <v>Davis</v>
      </c>
      <c r="P186" t="str">
        <f>_xlfn.XLOOKUP(G186,[1]appointments!$B$1:$B$201,[1]appointments!$C$1:$C$201, ,0)</f>
        <v>D007</v>
      </c>
      <c r="Q186" t="str">
        <f>_xlfn.XLOOKUP(P186,[3]doctors!$A$1:$A$11,[3]doctors!$D$1:$D$11, ,0)</f>
        <v>Oncology</v>
      </c>
      <c r="R186" t="str">
        <f>_xlfn.XLOOKUP(G186,[1]appointments!$B$1:$B$201,[1]appointments!$G$1:$G$201, ,0)</f>
        <v>Completed</v>
      </c>
      <c r="S186" s="1">
        <f>_xlfn.XLOOKUP(management_table[[#This Row],[ Patient Id]],[1]appointments!$B$1:$B$201,[1]appointments!$D$1:$D$201, ,0)</f>
        <v>45033</v>
      </c>
    </row>
    <row r="187" spans="1:19" x14ac:dyDescent="0.35">
      <c r="A187" t="s">
        <v>384</v>
      </c>
      <c r="B187" t="s">
        <v>385</v>
      </c>
      <c r="C187" t="s">
        <v>12</v>
      </c>
      <c r="D187" t="s">
        <v>9</v>
      </c>
      <c r="E187">
        <v>2153.9</v>
      </c>
      <c r="F187" s="1">
        <v>45012</v>
      </c>
      <c r="G187" t="str">
        <f>_xlfn.XLOOKUP(B187,[1]appointments!$A$1:$A$201,[1]appointments!$B$1:$B$201, ,0)</f>
        <v>P050</v>
      </c>
      <c r="H187" t="str">
        <f>_xlfn.XLOOKUP(G187,[2]patients!$A$1:$A$51,[2]patients!$B$1:$B$51, ,0)</f>
        <v>Laura</v>
      </c>
      <c r="I187" t="str">
        <f>_xlfn.XLOOKUP(G187,[2]patients!$A$1:$A$51,[2]patients!$C$1:$C$51, ,0)</f>
        <v>Wilson</v>
      </c>
      <c r="J187" t="str">
        <f>_xlfn.XLOOKUP(G187,[2]patients!$A$1:$A$51,[2]patients!$D$1:$D$51, ,0)</f>
        <v>M</v>
      </c>
      <c r="K187" t="str">
        <f>_xlfn.XLOOKUP(G187,[2]patients!$A$1:$A$51,[2]patients!$I$1:$I$51, ,0)</f>
        <v>WellnessCorp</v>
      </c>
      <c r="L187" t="str">
        <f>_xlfn.XLOOKUP(G187,[1]appointments!$B$1:$B$201,[1]appointments!$A$1:$A$201, ,0)</f>
        <v>A063</v>
      </c>
      <c r="M187" t="str">
        <f>_xlfn.XLOOKUP(G187,[1]appointments!$B$1:$B$201,[1]appointments!$F$1:$F$201, ,0)</f>
        <v>Follow-up</v>
      </c>
      <c r="N187" t="str">
        <f>_xlfn.XLOOKUP(P187,[3]doctors!$A$1:$A$11,[3]doctors!$B$1:$B$11, ,0)</f>
        <v>David</v>
      </c>
      <c r="O187" t="str">
        <f>_xlfn.XLOOKUP(P187,[3]doctors!$A$1:$A$11,[3]doctors!$C$1:$C$11, ,0)</f>
        <v>Jones</v>
      </c>
      <c r="P187" t="str">
        <f>_xlfn.XLOOKUP(G187,[1]appointments!$B$1:$B$201,[1]appointments!$C$1:$C$201, ,0)</f>
        <v>D004</v>
      </c>
      <c r="Q187" t="str">
        <f>_xlfn.XLOOKUP(P187,[3]doctors!$A$1:$A$11,[3]doctors!$D$1:$D$11, ,0)</f>
        <v>Pediatrics</v>
      </c>
      <c r="R187" t="str">
        <f>_xlfn.XLOOKUP(G187,[1]appointments!$B$1:$B$201,[1]appointments!$G$1:$G$201, ,0)</f>
        <v>Scheduled</v>
      </c>
      <c r="S187" s="1">
        <f>_xlfn.XLOOKUP(management_table[[#This Row],[ Patient Id]],[1]appointments!$B$1:$B$201,[1]appointments!$D$1:$D$201, ,0)</f>
        <v>45106</v>
      </c>
    </row>
    <row r="188" spans="1:19" x14ac:dyDescent="0.35">
      <c r="A188" t="s">
        <v>386</v>
      </c>
      <c r="B188" t="s">
        <v>387</v>
      </c>
      <c r="C188" t="s">
        <v>51</v>
      </c>
      <c r="D188" t="s">
        <v>16</v>
      </c>
      <c r="E188">
        <v>806.78</v>
      </c>
      <c r="F188" s="1">
        <v>44970</v>
      </c>
      <c r="G188" t="str">
        <f>_xlfn.XLOOKUP(B188,[1]appointments!$A$1:$A$201,[1]appointments!$B$1:$B$201, ,0)</f>
        <v>P027</v>
      </c>
      <c r="H188" t="str">
        <f>_xlfn.XLOOKUP(G188,[2]patients!$A$1:$A$51,[2]patients!$B$1:$B$51, ,0)</f>
        <v>Linda</v>
      </c>
      <c r="I188" t="str">
        <f>_xlfn.XLOOKUP(G188,[2]patients!$A$1:$A$51,[2]patients!$C$1:$C$51, ,0)</f>
        <v>Moore</v>
      </c>
      <c r="J188" t="str">
        <f>_xlfn.XLOOKUP(G188,[2]patients!$A$1:$A$51,[2]patients!$D$1:$D$51, ,0)</f>
        <v>F</v>
      </c>
      <c r="K188" t="str">
        <f>_xlfn.XLOOKUP(G188,[2]patients!$A$1:$A$51,[2]patients!$I$1:$I$51, ,0)</f>
        <v>HealthIndia</v>
      </c>
      <c r="L188" t="str">
        <f>_xlfn.XLOOKUP(G188,[1]appointments!$B$1:$B$201,[1]appointments!$A$1:$A$201, ,0)</f>
        <v>A059</v>
      </c>
      <c r="M188" t="str">
        <f>_xlfn.XLOOKUP(G188,[1]appointments!$B$1:$B$201,[1]appointments!$F$1:$F$201, ,0)</f>
        <v>Therapy</v>
      </c>
      <c r="N188" t="str">
        <f>_xlfn.XLOOKUP(P188,[3]doctors!$A$1:$A$11,[3]doctors!$B$1:$B$11, ,0)</f>
        <v>Linda</v>
      </c>
      <c r="O188" t="str">
        <f>_xlfn.XLOOKUP(P188,[3]doctors!$A$1:$A$11,[3]doctors!$C$1:$C$11, ,0)</f>
        <v>Wilson</v>
      </c>
      <c r="P188" t="str">
        <f>_xlfn.XLOOKUP(G188,[1]appointments!$B$1:$B$201,[1]appointments!$C$1:$C$201, ,0)</f>
        <v>D010</v>
      </c>
      <c r="Q188" t="str">
        <f>_xlfn.XLOOKUP(P188,[3]doctors!$A$1:$A$11,[3]doctors!$D$1:$D$11, ,0)</f>
        <v>Oncology</v>
      </c>
      <c r="R188" t="str">
        <f>_xlfn.XLOOKUP(G188,[1]appointments!$B$1:$B$201,[1]appointments!$G$1:$G$201, ,0)</f>
        <v>Cancelled</v>
      </c>
      <c r="S188" s="1">
        <f>_xlfn.XLOOKUP(management_table[[#This Row],[ Patient Id]],[1]appointments!$B$1:$B$201,[1]appointments!$D$1:$D$201, ,0)</f>
        <v>44994</v>
      </c>
    </row>
    <row r="189" spans="1:19" x14ac:dyDescent="0.35">
      <c r="A189" t="s">
        <v>388</v>
      </c>
      <c r="B189" t="s">
        <v>389</v>
      </c>
      <c r="C189" t="s">
        <v>8</v>
      </c>
      <c r="D189" t="s">
        <v>13</v>
      </c>
      <c r="E189">
        <v>616.15</v>
      </c>
      <c r="F189" s="1">
        <v>45028</v>
      </c>
      <c r="G189" t="str">
        <f>_xlfn.XLOOKUP(B189,[1]appointments!$A$1:$A$201,[1]appointments!$B$1:$B$201, ,0)</f>
        <v>P002</v>
      </c>
      <c r="H189" t="str">
        <f>_xlfn.XLOOKUP(G189,[2]patients!$A$1:$A$51,[2]patients!$B$1:$B$51, ,0)</f>
        <v>Emily</v>
      </c>
      <c r="I189" t="str">
        <f>_xlfn.XLOOKUP(G189,[2]patients!$A$1:$A$51,[2]patients!$C$1:$C$51, ,0)</f>
        <v>Smith</v>
      </c>
      <c r="J189" t="str">
        <f>_xlfn.XLOOKUP(G189,[2]patients!$A$1:$A$51,[2]patients!$D$1:$D$51, ,0)</f>
        <v>F</v>
      </c>
      <c r="K189" t="str">
        <f>_xlfn.XLOOKUP(G189,[2]patients!$A$1:$A$51,[2]patients!$I$1:$I$51, ,0)</f>
        <v>PulseSecure</v>
      </c>
      <c r="L189" t="str">
        <f>_xlfn.XLOOKUP(G189,[1]appointments!$B$1:$B$201,[1]appointments!$A$1:$A$201, ,0)</f>
        <v>A055</v>
      </c>
      <c r="M189" t="str">
        <f>_xlfn.XLOOKUP(G189,[1]appointments!$B$1:$B$201,[1]appointments!$F$1:$F$201, ,0)</f>
        <v>Checkup</v>
      </c>
      <c r="N189" t="str">
        <f>_xlfn.XLOOKUP(P189,[3]doctors!$A$1:$A$11,[3]doctors!$B$1:$B$11, ,0)</f>
        <v>Linda</v>
      </c>
      <c r="O189" t="str">
        <f>_xlfn.XLOOKUP(P189,[3]doctors!$A$1:$A$11,[3]doctors!$C$1:$C$11, ,0)</f>
        <v>Wilson</v>
      </c>
      <c r="P189" t="str">
        <f>_xlfn.XLOOKUP(G189,[1]appointments!$B$1:$B$201,[1]appointments!$C$1:$C$201, ,0)</f>
        <v>D010</v>
      </c>
      <c r="Q189" t="str">
        <f>_xlfn.XLOOKUP(P189,[3]doctors!$A$1:$A$11,[3]doctors!$D$1:$D$11, ,0)</f>
        <v>Oncology</v>
      </c>
      <c r="R189" t="str">
        <f>_xlfn.XLOOKUP(G189,[1]appointments!$B$1:$B$201,[1]appointments!$G$1:$G$201, ,0)</f>
        <v>Scheduled</v>
      </c>
      <c r="S189" s="1">
        <f>_xlfn.XLOOKUP(management_table[[#This Row],[ Patient Id]],[1]appointments!$B$1:$B$201,[1]appointments!$D$1:$D$201, ,0)</f>
        <v>45205</v>
      </c>
    </row>
    <row r="190" spans="1:19" x14ac:dyDescent="0.35">
      <c r="A190" t="s">
        <v>390</v>
      </c>
      <c r="B190" t="s">
        <v>391</v>
      </c>
      <c r="C190" t="s">
        <v>51</v>
      </c>
      <c r="D190" t="s">
        <v>13</v>
      </c>
      <c r="E190">
        <v>1108.25</v>
      </c>
      <c r="F190" s="1">
        <v>45204</v>
      </c>
      <c r="G190" t="str">
        <f>_xlfn.XLOOKUP(B190,[1]appointments!$A$1:$A$201,[1]appointments!$B$1:$B$201, ,0)</f>
        <v>P005</v>
      </c>
      <c r="H190" t="str">
        <f>_xlfn.XLOOKUP(G190,[2]patients!$A$1:$A$51,[2]patients!$B$1:$B$51, ,0)</f>
        <v>David</v>
      </c>
      <c r="I190" t="str">
        <f>_xlfn.XLOOKUP(G190,[2]patients!$A$1:$A$51,[2]patients!$C$1:$C$51, ,0)</f>
        <v>Wilson</v>
      </c>
      <c r="J190" t="str">
        <f>_xlfn.XLOOKUP(G190,[2]patients!$A$1:$A$51,[2]patients!$D$1:$D$51, ,0)</f>
        <v>M</v>
      </c>
      <c r="K190" t="str">
        <f>_xlfn.XLOOKUP(G190,[2]patients!$A$1:$A$51,[2]patients!$I$1:$I$51, ,0)</f>
        <v>MedCare Plus</v>
      </c>
      <c r="L190" t="str">
        <f>_xlfn.XLOOKUP(G190,[1]appointments!$B$1:$B$201,[1]appointments!$A$1:$A$201, ,0)</f>
        <v>A010</v>
      </c>
      <c r="M190" t="str">
        <f>_xlfn.XLOOKUP(G190,[1]appointments!$B$1:$B$201,[1]appointments!$F$1:$F$201, ,0)</f>
        <v>Therapy</v>
      </c>
      <c r="N190" t="str">
        <f>_xlfn.XLOOKUP(P190,[3]doctors!$A$1:$A$11,[3]doctors!$B$1:$B$11, ,0)</f>
        <v>Jane</v>
      </c>
      <c r="O190" t="str">
        <f>_xlfn.XLOOKUP(P190,[3]doctors!$A$1:$A$11,[3]doctors!$C$1:$C$11, ,0)</f>
        <v>Smith</v>
      </c>
      <c r="P190" t="str">
        <f>_xlfn.XLOOKUP(G190,[1]appointments!$B$1:$B$201,[1]appointments!$C$1:$C$201, ,0)</f>
        <v>D003</v>
      </c>
      <c r="Q190" t="str">
        <f>_xlfn.XLOOKUP(P190,[3]doctors!$A$1:$A$11,[3]doctors!$D$1:$D$11, ,0)</f>
        <v>Pediatrics</v>
      </c>
      <c r="R190" t="str">
        <f>_xlfn.XLOOKUP(G190,[1]appointments!$B$1:$B$201,[1]appointments!$G$1:$G$201, ,0)</f>
        <v>Completed</v>
      </c>
      <c r="S190" s="1">
        <f>_xlfn.XLOOKUP(management_table[[#This Row],[ Patient Id]],[1]appointments!$B$1:$B$201,[1]appointments!$D$1:$D$201, ,0)</f>
        <v>44939</v>
      </c>
    </row>
    <row r="191" spans="1:19" x14ac:dyDescent="0.35">
      <c r="A191" t="s">
        <v>392</v>
      </c>
      <c r="B191" t="s">
        <v>393</v>
      </c>
      <c r="C191" t="s">
        <v>8</v>
      </c>
      <c r="D191" t="s">
        <v>13</v>
      </c>
      <c r="E191">
        <v>4834.0200000000004</v>
      </c>
      <c r="F191" s="1">
        <v>45246</v>
      </c>
      <c r="G191" t="str">
        <f>_xlfn.XLOOKUP(B191,[1]appointments!$A$1:$A$201,[1]appointments!$B$1:$B$201, ,0)</f>
        <v>P029</v>
      </c>
      <c r="H191" t="str">
        <f>_xlfn.XLOOKUP(G191,[2]patients!$A$1:$A$51,[2]patients!$B$1:$B$51, ,0)</f>
        <v>David</v>
      </c>
      <c r="I191" t="str">
        <f>_xlfn.XLOOKUP(G191,[2]patients!$A$1:$A$51,[2]patients!$C$1:$C$51, ,0)</f>
        <v>Smith</v>
      </c>
      <c r="J191" t="str">
        <f>_xlfn.XLOOKUP(G191,[2]patients!$A$1:$A$51,[2]patients!$D$1:$D$51, ,0)</f>
        <v>M</v>
      </c>
      <c r="K191" t="str">
        <f>_xlfn.XLOOKUP(G191,[2]patients!$A$1:$A$51,[2]patients!$I$1:$I$51, ,0)</f>
        <v>HealthIndia</v>
      </c>
      <c r="L191" t="str">
        <f>_xlfn.XLOOKUP(G191,[1]appointments!$B$1:$B$201,[1]appointments!$A$1:$A$201, ,0)</f>
        <v>A012</v>
      </c>
      <c r="M191" t="str">
        <f>_xlfn.XLOOKUP(G191,[1]appointments!$B$1:$B$201,[1]appointments!$F$1:$F$201, ,0)</f>
        <v>Follow-up</v>
      </c>
      <c r="N191" t="str">
        <f>_xlfn.XLOOKUP(P191,[3]doctors!$A$1:$A$11,[3]doctors!$B$1:$B$11, ,0)</f>
        <v>Jane</v>
      </c>
      <c r="O191" t="str">
        <f>_xlfn.XLOOKUP(P191,[3]doctors!$A$1:$A$11,[3]doctors!$C$1:$C$11, ,0)</f>
        <v>Smith</v>
      </c>
      <c r="P191" t="str">
        <f>_xlfn.XLOOKUP(G191,[1]appointments!$B$1:$B$201,[1]appointments!$C$1:$C$201, ,0)</f>
        <v>D003</v>
      </c>
      <c r="Q191" t="str">
        <f>_xlfn.XLOOKUP(P191,[3]doctors!$A$1:$A$11,[3]doctors!$D$1:$D$11, ,0)</f>
        <v>Pediatrics</v>
      </c>
      <c r="R191" t="str">
        <f>_xlfn.XLOOKUP(G191,[1]appointments!$B$1:$B$201,[1]appointments!$G$1:$G$201, ,0)</f>
        <v>Completed</v>
      </c>
      <c r="S191" s="1">
        <f>_xlfn.XLOOKUP(management_table[[#This Row],[ Patient Id]],[1]appointments!$B$1:$B$201,[1]appointments!$D$1:$D$201, ,0)</f>
        <v>45053</v>
      </c>
    </row>
    <row r="192" spans="1:19" x14ac:dyDescent="0.35">
      <c r="A192" t="s">
        <v>394</v>
      </c>
      <c r="B192" t="s">
        <v>395</v>
      </c>
      <c r="C192" t="s">
        <v>51</v>
      </c>
      <c r="D192" t="s">
        <v>16</v>
      </c>
      <c r="E192">
        <v>2972.88</v>
      </c>
      <c r="F192" s="1">
        <v>45028</v>
      </c>
      <c r="G192" t="str">
        <f>_xlfn.XLOOKUP(B192,[1]appointments!$A$1:$A$201,[1]appointments!$B$1:$B$201, ,0)</f>
        <v>P037</v>
      </c>
      <c r="H192" t="str">
        <f>_xlfn.XLOOKUP(G192,[2]patients!$A$1:$A$51,[2]patients!$B$1:$B$51, ,0)</f>
        <v>Robert</v>
      </c>
      <c r="I192" t="str">
        <f>_xlfn.XLOOKUP(G192,[2]patients!$A$1:$A$51,[2]patients!$C$1:$C$51, ,0)</f>
        <v>Williams</v>
      </c>
      <c r="J192" t="str">
        <f>_xlfn.XLOOKUP(G192,[2]patients!$A$1:$A$51,[2]patients!$D$1:$D$51, ,0)</f>
        <v>M</v>
      </c>
      <c r="K192" t="str">
        <f>_xlfn.XLOOKUP(G192,[2]patients!$A$1:$A$51,[2]patients!$I$1:$I$51, ,0)</f>
        <v>HealthIndia</v>
      </c>
      <c r="L192" t="str">
        <f>_xlfn.XLOOKUP(G192,[1]appointments!$B$1:$B$201,[1]appointments!$A$1:$A$201, ,0)</f>
        <v>A017</v>
      </c>
      <c r="M192" t="str">
        <f>_xlfn.XLOOKUP(G192,[1]appointments!$B$1:$B$201,[1]appointments!$F$1:$F$201, ,0)</f>
        <v>Emergency</v>
      </c>
      <c r="N192" t="str">
        <f>_xlfn.XLOOKUP(P192,[3]doctors!$A$1:$A$11,[3]doctors!$B$1:$B$11, ,0)</f>
        <v>Sarah</v>
      </c>
      <c r="O192" t="str">
        <f>_xlfn.XLOOKUP(P192,[3]doctors!$A$1:$A$11,[3]doctors!$C$1:$C$11, ,0)</f>
        <v>Smith</v>
      </c>
      <c r="P192" t="str">
        <f>_xlfn.XLOOKUP(G192,[1]appointments!$B$1:$B$201,[1]appointments!$C$1:$C$201, ,0)</f>
        <v>D009</v>
      </c>
      <c r="Q192" t="str">
        <f>_xlfn.XLOOKUP(P192,[3]doctors!$A$1:$A$11,[3]doctors!$D$1:$D$11, ,0)</f>
        <v>Pediatrics</v>
      </c>
      <c r="R192" t="str">
        <f>_xlfn.XLOOKUP(G192,[1]appointments!$B$1:$B$201,[1]appointments!$G$1:$G$201, ,0)</f>
        <v>Scheduled</v>
      </c>
      <c r="S192" s="1">
        <f>_xlfn.XLOOKUP(management_table[[#This Row],[ Patient Id]],[1]appointments!$B$1:$B$201,[1]appointments!$D$1:$D$201, ,0)</f>
        <v>45118</v>
      </c>
    </row>
    <row r="193" spans="1:19" x14ac:dyDescent="0.35">
      <c r="A193" t="s">
        <v>396</v>
      </c>
      <c r="B193" t="s">
        <v>397</v>
      </c>
      <c r="C193" t="s">
        <v>28</v>
      </c>
      <c r="D193" t="s">
        <v>16</v>
      </c>
      <c r="E193">
        <v>4846.2</v>
      </c>
      <c r="F193" s="1">
        <v>45169</v>
      </c>
      <c r="G193" t="str">
        <f>_xlfn.XLOOKUP(B193,[1]appointments!$A$1:$A$201,[1]appointments!$B$1:$B$201, ,0)</f>
        <v>P038</v>
      </c>
      <c r="H193" t="str">
        <f>_xlfn.XLOOKUP(G193,[2]patients!$A$1:$A$51,[2]patients!$B$1:$B$51, ,0)</f>
        <v>David</v>
      </c>
      <c r="I193" t="str">
        <f>_xlfn.XLOOKUP(G193,[2]patients!$A$1:$A$51,[2]patients!$C$1:$C$51, ,0)</f>
        <v>Smith</v>
      </c>
      <c r="J193" t="str">
        <f>_xlfn.XLOOKUP(G193,[2]patients!$A$1:$A$51,[2]patients!$D$1:$D$51, ,0)</f>
        <v>M</v>
      </c>
      <c r="K193" t="str">
        <f>_xlfn.XLOOKUP(G193,[2]patients!$A$1:$A$51,[2]patients!$I$1:$I$51, ,0)</f>
        <v>MedCare Plus</v>
      </c>
      <c r="L193" t="str">
        <f>_xlfn.XLOOKUP(G193,[1]appointments!$B$1:$B$201,[1]appointments!$A$1:$A$201, ,0)</f>
        <v>A179</v>
      </c>
      <c r="M193" t="str">
        <f>_xlfn.XLOOKUP(G193,[1]appointments!$B$1:$B$201,[1]appointments!$F$1:$F$201, ,0)</f>
        <v>Checkup</v>
      </c>
      <c r="N193" t="str">
        <f>_xlfn.XLOOKUP(P193,[3]doctors!$A$1:$A$11,[3]doctors!$B$1:$B$11, ,0)</f>
        <v>Alex</v>
      </c>
      <c r="O193" t="str">
        <f>_xlfn.XLOOKUP(P193,[3]doctors!$A$1:$A$11,[3]doctors!$C$1:$C$11, ,0)</f>
        <v>Davis</v>
      </c>
      <c r="P193" t="str">
        <f>_xlfn.XLOOKUP(G193,[1]appointments!$B$1:$B$201,[1]appointments!$C$1:$C$201, ,0)</f>
        <v>D006</v>
      </c>
      <c r="Q193" t="str">
        <f>_xlfn.XLOOKUP(P193,[3]doctors!$A$1:$A$11,[3]doctors!$D$1:$D$11, ,0)</f>
        <v>Pediatrics</v>
      </c>
      <c r="R193" t="str">
        <f>_xlfn.XLOOKUP(G193,[1]appointments!$B$1:$B$201,[1]appointments!$G$1:$G$201, ,0)</f>
        <v>Completed</v>
      </c>
      <c r="S193" s="1">
        <f>_xlfn.XLOOKUP(management_table[[#This Row],[ Patient Id]],[1]appointments!$B$1:$B$201,[1]appointments!$D$1:$D$201, ,0)</f>
        <v>44993</v>
      </c>
    </row>
    <row r="194" spans="1:19" x14ac:dyDescent="0.35">
      <c r="A194" t="s">
        <v>398</v>
      </c>
      <c r="B194" t="s">
        <v>399</v>
      </c>
      <c r="C194" t="s">
        <v>28</v>
      </c>
      <c r="D194" t="s">
        <v>13</v>
      </c>
      <c r="E194">
        <v>2446.2399999999998</v>
      </c>
      <c r="F194" s="1">
        <v>45184</v>
      </c>
      <c r="G194" t="str">
        <f>_xlfn.XLOOKUP(B194,[1]appointments!$A$1:$A$201,[1]appointments!$B$1:$B$201, ,0)</f>
        <v>P019</v>
      </c>
      <c r="H194" t="str">
        <f>_xlfn.XLOOKUP(G194,[2]patients!$A$1:$A$51,[2]patients!$B$1:$B$51, ,0)</f>
        <v>Sarah</v>
      </c>
      <c r="I194" t="str">
        <f>_xlfn.XLOOKUP(G194,[2]patients!$A$1:$A$51,[2]patients!$C$1:$C$51, ,0)</f>
        <v>Miller</v>
      </c>
      <c r="J194" t="str">
        <f>_xlfn.XLOOKUP(G194,[2]patients!$A$1:$A$51,[2]patients!$D$1:$D$51, ,0)</f>
        <v>M</v>
      </c>
      <c r="K194" t="str">
        <f>_xlfn.XLOOKUP(G194,[2]patients!$A$1:$A$51,[2]patients!$I$1:$I$51, ,0)</f>
        <v>WellnessCorp</v>
      </c>
      <c r="L194" t="str">
        <f>_xlfn.XLOOKUP(G194,[1]appointments!$B$1:$B$201,[1]appointments!$A$1:$A$201, ,0)</f>
        <v>A046</v>
      </c>
      <c r="M194" t="str">
        <f>_xlfn.XLOOKUP(G194,[1]appointments!$B$1:$B$201,[1]appointments!$F$1:$F$201, ,0)</f>
        <v>Consultation</v>
      </c>
      <c r="N194" t="str">
        <f>_xlfn.XLOOKUP(P194,[3]doctors!$A$1:$A$11,[3]doctors!$B$1:$B$11, ,0)</f>
        <v>Jane</v>
      </c>
      <c r="O194" t="str">
        <f>_xlfn.XLOOKUP(P194,[3]doctors!$A$1:$A$11,[3]doctors!$C$1:$C$11, ,0)</f>
        <v>Smith</v>
      </c>
      <c r="P194" t="str">
        <f>_xlfn.XLOOKUP(G194,[1]appointments!$B$1:$B$201,[1]appointments!$C$1:$C$201, ,0)</f>
        <v>D003</v>
      </c>
      <c r="Q194" t="str">
        <f>_xlfn.XLOOKUP(P194,[3]doctors!$A$1:$A$11,[3]doctors!$D$1:$D$11, ,0)</f>
        <v>Pediatrics</v>
      </c>
      <c r="R194" t="str">
        <f>_xlfn.XLOOKUP(G194,[1]appointments!$B$1:$B$201,[1]appointments!$G$1:$G$201, ,0)</f>
        <v>Cancelled</v>
      </c>
      <c r="S194" s="1">
        <f>_xlfn.XLOOKUP(management_table[[#This Row],[ Patient Id]],[1]appointments!$B$1:$B$201,[1]appointments!$D$1:$D$201, ,0)</f>
        <v>45280</v>
      </c>
    </row>
    <row r="195" spans="1:19" x14ac:dyDescent="0.35">
      <c r="A195" t="s">
        <v>400</v>
      </c>
      <c r="B195" t="s">
        <v>401</v>
      </c>
      <c r="C195" t="s">
        <v>28</v>
      </c>
      <c r="D195" t="s">
        <v>16</v>
      </c>
      <c r="E195">
        <v>1903.17</v>
      </c>
      <c r="F195" s="1">
        <v>45022</v>
      </c>
      <c r="G195" t="str">
        <f>_xlfn.XLOOKUP(B195,[1]appointments!$A$1:$A$201,[1]appointments!$B$1:$B$201, ,0)</f>
        <v>P008</v>
      </c>
      <c r="H195" t="str">
        <f>_xlfn.XLOOKUP(G195,[2]patients!$A$1:$A$51,[2]patients!$B$1:$B$51, ,0)</f>
        <v>David</v>
      </c>
      <c r="I195" t="str">
        <f>_xlfn.XLOOKUP(G195,[2]patients!$A$1:$A$51,[2]patients!$C$1:$C$51, ,0)</f>
        <v>Davis</v>
      </c>
      <c r="J195" t="str">
        <f>_xlfn.XLOOKUP(G195,[2]patients!$A$1:$A$51,[2]patients!$D$1:$D$51, ,0)</f>
        <v>F</v>
      </c>
      <c r="K195" t="str">
        <f>_xlfn.XLOOKUP(G195,[2]patients!$A$1:$A$51,[2]patients!$I$1:$I$51, ,0)</f>
        <v>WellnessCorp</v>
      </c>
      <c r="L195" t="str">
        <f>_xlfn.XLOOKUP(G195,[1]appointments!$B$1:$B$201,[1]appointments!$A$1:$A$201, ,0)</f>
        <v>A088</v>
      </c>
      <c r="M195" t="str">
        <f>_xlfn.XLOOKUP(G195,[1]appointments!$B$1:$B$201,[1]appointments!$F$1:$F$201, ,0)</f>
        <v>Checkup</v>
      </c>
      <c r="N195" t="str">
        <f>_xlfn.XLOOKUP(P195,[3]doctors!$A$1:$A$11,[3]doctors!$B$1:$B$11, ,0)</f>
        <v>Sarah</v>
      </c>
      <c r="O195" t="str">
        <f>_xlfn.XLOOKUP(P195,[3]doctors!$A$1:$A$11,[3]doctors!$C$1:$C$11, ,0)</f>
        <v>Taylor</v>
      </c>
      <c r="P195" t="str">
        <f>_xlfn.XLOOKUP(G195,[1]appointments!$B$1:$B$201,[1]appointments!$C$1:$C$201, ,0)</f>
        <v>D005</v>
      </c>
      <c r="Q195" t="str">
        <f>_xlfn.XLOOKUP(P195,[3]doctors!$A$1:$A$11,[3]doctors!$D$1:$D$11, ,0)</f>
        <v>Dermatology</v>
      </c>
      <c r="R195" t="str">
        <f>_xlfn.XLOOKUP(G195,[1]appointments!$B$1:$B$201,[1]appointments!$G$1:$G$201, ,0)</f>
        <v>Completed</v>
      </c>
      <c r="S195" s="1">
        <f>_xlfn.XLOOKUP(management_table[[#This Row],[ Patient Id]],[1]appointments!$B$1:$B$201,[1]appointments!$D$1:$D$201, ,0)</f>
        <v>45048</v>
      </c>
    </row>
    <row r="196" spans="1:19" x14ac:dyDescent="0.35">
      <c r="A196" t="s">
        <v>402</v>
      </c>
      <c r="B196" t="s">
        <v>403</v>
      </c>
      <c r="C196" t="s">
        <v>21</v>
      </c>
      <c r="D196" t="s">
        <v>16</v>
      </c>
      <c r="E196">
        <v>2777.64</v>
      </c>
      <c r="F196" s="1">
        <v>45157</v>
      </c>
      <c r="G196" t="str">
        <f>_xlfn.XLOOKUP(B196,[1]appointments!$A$1:$A$201,[1]appointments!$B$1:$B$201, ,0)</f>
        <v>P048</v>
      </c>
      <c r="H196" t="str">
        <f>_xlfn.XLOOKUP(G196,[2]patients!$A$1:$A$51,[2]patients!$B$1:$B$51, ,0)</f>
        <v>Emily</v>
      </c>
      <c r="I196" t="str">
        <f>_xlfn.XLOOKUP(G196,[2]patients!$A$1:$A$51,[2]patients!$C$1:$C$51, ,0)</f>
        <v>Miller</v>
      </c>
      <c r="J196" t="str">
        <f>_xlfn.XLOOKUP(G196,[2]patients!$A$1:$A$51,[2]patients!$D$1:$D$51, ,0)</f>
        <v>M</v>
      </c>
      <c r="K196" t="str">
        <f>_xlfn.XLOOKUP(G196,[2]patients!$A$1:$A$51,[2]patients!$I$1:$I$51, ,0)</f>
        <v>PulseSecure</v>
      </c>
      <c r="L196" t="str">
        <f>_xlfn.XLOOKUP(G196,[1]appointments!$B$1:$B$201,[1]appointments!$A$1:$A$201, ,0)</f>
        <v>A003</v>
      </c>
      <c r="M196" t="str">
        <f>_xlfn.XLOOKUP(G196,[1]appointments!$B$1:$B$201,[1]appointments!$F$1:$F$201, ,0)</f>
        <v>Consultation</v>
      </c>
      <c r="N196" t="str">
        <f>_xlfn.XLOOKUP(P196,[3]doctors!$A$1:$A$11,[3]doctors!$B$1:$B$11, ,0)</f>
        <v>David</v>
      </c>
      <c r="O196" t="str">
        <f>_xlfn.XLOOKUP(P196,[3]doctors!$A$1:$A$11,[3]doctors!$C$1:$C$11, ,0)</f>
        <v>Jones</v>
      </c>
      <c r="P196" t="str">
        <f>_xlfn.XLOOKUP(G196,[1]appointments!$B$1:$B$201,[1]appointments!$C$1:$C$201, ,0)</f>
        <v>D004</v>
      </c>
      <c r="Q196" t="str">
        <f>_xlfn.XLOOKUP(P196,[3]doctors!$A$1:$A$11,[3]doctors!$D$1:$D$11, ,0)</f>
        <v>Pediatrics</v>
      </c>
      <c r="R196" t="str">
        <f>_xlfn.XLOOKUP(G196,[1]appointments!$B$1:$B$201,[1]appointments!$G$1:$G$201, ,0)</f>
        <v>Cancelled</v>
      </c>
      <c r="S196" s="1">
        <f>_xlfn.XLOOKUP(management_table[[#This Row],[ Patient Id]],[1]appointments!$B$1:$B$201,[1]appointments!$D$1:$D$201, ,0)</f>
        <v>45105</v>
      </c>
    </row>
    <row r="197" spans="1:19" x14ac:dyDescent="0.35">
      <c r="A197" t="s">
        <v>404</v>
      </c>
      <c r="B197" t="s">
        <v>405</v>
      </c>
      <c r="C197" t="s">
        <v>8</v>
      </c>
      <c r="D197" t="s">
        <v>13</v>
      </c>
      <c r="E197">
        <v>2477.8000000000002</v>
      </c>
      <c r="F197" s="1">
        <v>45225</v>
      </c>
      <c r="G197" t="str">
        <f>_xlfn.XLOOKUP(B197,[1]appointments!$A$1:$A$201,[1]appointments!$B$1:$B$201, ,0)</f>
        <v>P045</v>
      </c>
      <c r="H197" t="str">
        <f>_xlfn.XLOOKUP(G197,[2]patients!$A$1:$A$51,[2]patients!$B$1:$B$51, ,0)</f>
        <v>Linda</v>
      </c>
      <c r="I197" t="str">
        <f>_xlfn.XLOOKUP(G197,[2]patients!$A$1:$A$51,[2]patients!$C$1:$C$51, ,0)</f>
        <v>Miller</v>
      </c>
      <c r="J197" t="str">
        <f>_xlfn.XLOOKUP(G197,[2]patients!$A$1:$A$51,[2]patients!$D$1:$D$51, ,0)</f>
        <v>F</v>
      </c>
      <c r="K197" t="str">
        <f>_xlfn.XLOOKUP(G197,[2]patients!$A$1:$A$51,[2]patients!$I$1:$I$51, ,0)</f>
        <v>MedCare Plus</v>
      </c>
      <c r="L197" t="str">
        <f>_xlfn.XLOOKUP(G197,[1]appointments!$B$1:$B$201,[1]appointments!$A$1:$A$201, ,0)</f>
        <v>A006</v>
      </c>
      <c r="M197" t="str">
        <f>_xlfn.XLOOKUP(G197,[1]appointments!$B$1:$B$201,[1]appointments!$F$1:$F$201, ,0)</f>
        <v>Checkup</v>
      </c>
      <c r="N197" t="str">
        <f>_xlfn.XLOOKUP(P197,[3]doctors!$A$1:$A$11,[3]doctors!$B$1:$B$11, ,0)</f>
        <v>Alex</v>
      </c>
      <c r="O197" t="str">
        <f>_xlfn.XLOOKUP(P197,[3]doctors!$A$1:$A$11,[3]doctors!$C$1:$C$11, ,0)</f>
        <v>Davis</v>
      </c>
      <c r="P197" t="str">
        <f>_xlfn.XLOOKUP(G197,[1]appointments!$B$1:$B$201,[1]appointments!$C$1:$C$201, ,0)</f>
        <v>D006</v>
      </c>
      <c r="Q197" t="str">
        <f>_xlfn.XLOOKUP(P197,[3]doctors!$A$1:$A$11,[3]doctors!$D$1:$D$11, ,0)</f>
        <v>Pediatrics</v>
      </c>
      <c r="R197" t="str">
        <f>_xlfn.XLOOKUP(G197,[1]appointments!$B$1:$B$201,[1]appointments!$G$1:$G$201, ,0)</f>
        <v>Scheduled</v>
      </c>
      <c r="S197" s="1">
        <f>_xlfn.XLOOKUP(management_table[[#This Row],[ Patient Id]],[1]appointments!$B$1:$B$201,[1]appointments!$D$1:$D$201, ,0)</f>
        <v>45096</v>
      </c>
    </row>
    <row r="198" spans="1:19" x14ac:dyDescent="0.35">
      <c r="A198" t="s">
        <v>406</v>
      </c>
      <c r="B198" t="s">
        <v>407</v>
      </c>
      <c r="C198" t="s">
        <v>28</v>
      </c>
      <c r="D198" t="s">
        <v>16</v>
      </c>
      <c r="E198">
        <v>975.49</v>
      </c>
      <c r="F198" s="1">
        <v>45017</v>
      </c>
      <c r="G198" t="str">
        <f>_xlfn.XLOOKUP(B198,[1]appointments!$A$1:$A$201,[1]appointments!$B$1:$B$201, ,0)</f>
        <v>P001</v>
      </c>
      <c r="H198" t="str">
        <f>_xlfn.XLOOKUP(G198,[2]patients!$A$1:$A$51,[2]patients!$B$1:$B$51, ,0)</f>
        <v>David</v>
      </c>
      <c r="I198" t="str">
        <f>_xlfn.XLOOKUP(G198,[2]patients!$A$1:$A$51,[2]patients!$C$1:$C$51, ,0)</f>
        <v>Williams</v>
      </c>
      <c r="J198" t="str">
        <f>_xlfn.XLOOKUP(G198,[2]patients!$A$1:$A$51,[2]patients!$D$1:$D$51, ,0)</f>
        <v>F</v>
      </c>
      <c r="K198" t="str">
        <f>_xlfn.XLOOKUP(G198,[2]patients!$A$1:$A$51,[2]patients!$I$1:$I$51, ,0)</f>
        <v>WellnessCorp</v>
      </c>
      <c r="L198" t="str">
        <f>_xlfn.XLOOKUP(G198,[1]appointments!$B$1:$B$201,[1]appointments!$A$1:$A$201, ,0)</f>
        <v>A007</v>
      </c>
      <c r="M198" t="str">
        <f>_xlfn.XLOOKUP(G198,[1]appointments!$B$1:$B$201,[1]appointments!$F$1:$F$201, ,0)</f>
        <v>Consultation</v>
      </c>
      <c r="N198" t="str">
        <f>_xlfn.XLOOKUP(P198,[3]doctors!$A$1:$A$11,[3]doctors!$B$1:$B$11, ,0)</f>
        <v>Robert</v>
      </c>
      <c r="O198" t="str">
        <f>_xlfn.XLOOKUP(P198,[3]doctors!$A$1:$A$11,[3]doctors!$C$1:$C$11, ,0)</f>
        <v>Davis</v>
      </c>
      <c r="P198" t="str">
        <f>_xlfn.XLOOKUP(G198,[1]appointments!$B$1:$B$201,[1]appointments!$C$1:$C$201, ,0)</f>
        <v>D007</v>
      </c>
      <c r="Q198" t="str">
        <f>_xlfn.XLOOKUP(P198,[3]doctors!$A$1:$A$11,[3]doctors!$D$1:$D$11, ,0)</f>
        <v>Oncology</v>
      </c>
      <c r="R198" t="str">
        <f>_xlfn.XLOOKUP(G198,[1]appointments!$B$1:$B$201,[1]appointments!$G$1:$G$201, ,0)</f>
        <v>Scheduled</v>
      </c>
      <c r="S198" s="1">
        <f>_xlfn.XLOOKUP(management_table[[#This Row],[ Patient Id]],[1]appointments!$B$1:$B$201,[1]appointments!$D$1:$D$201, ,0)</f>
        <v>45025</v>
      </c>
    </row>
    <row r="199" spans="1:19" x14ac:dyDescent="0.35">
      <c r="A199" t="s">
        <v>408</v>
      </c>
      <c r="B199" t="s">
        <v>409</v>
      </c>
      <c r="C199" t="s">
        <v>21</v>
      </c>
      <c r="D199" t="s">
        <v>9</v>
      </c>
      <c r="E199">
        <v>3383.72</v>
      </c>
      <c r="F199" s="1">
        <v>45061</v>
      </c>
      <c r="G199" t="str">
        <f>_xlfn.XLOOKUP(B199,[1]appointments!$A$1:$A$201,[1]appointments!$B$1:$B$201, ,0)</f>
        <v>P022</v>
      </c>
      <c r="H199" t="str">
        <f>_xlfn.XLOOKUP(G199,[2]patients!$A$1:$A$51,[2]patients!$B$1:$B$51, ,0)</f>
        <v>John</v>
      </c>
      <c r="I199" t="str">
        <f>_xlfn.XLOOKUP(G199,[2]patients!$A$1:$A$51,[2]patients!$C$1:$C$51, ,0)</f>
        <v>Brown</v>
      </c>
      <c r="J199" t="str">
        <f>_xlfn.XLOOKUP(G199,[2]patients!$A$1:$A$51,[2]patients!$D$1:$D$51, ,0)</f>
        <v>M</v>
      </c>
      <c r="K199" t="str">
        <f>_xlfn.XLOOKUP(G199,[2]patients!$A$1:$A$51,[2]patients!$I$1:$I$51, ,0)</f>
        <v>MedCare Plus</v>
      </c>
      <c r="L199" t="str">
        <f>_xlfn.XLOOKUP(G199,[1]appointments!$B$1:$B$201,[1]appointments!$A$1:$A$201, ,0)</f>
        <v>A011</v>
      </c>
      <c r="M199" t="str">
        <f>_xlfn.XLOOKUP(G199,[1]appointments!$B$1:$B$201,[1]appointments!$F$1:$F$201, ,0)</f>
        <v>Checkup</v>
      </c>
      <c r="N199" t="str">
        <f>_xlfn.XLOOKUP(P199,[3]doctors!$A$1:$A$11,[3]doctors!$B$1:$B$11, ,0)</f>
        <v>Robert</v>
      </c>
      <c r="O199" t="str">
        <f>_xlfn.XLOOKUP(P199,[3]doctors!$A$1:$A$11,[3]doctors!$C$1:$C$11, ,0)</f>
        <v>Davis</v>
      </c>
      <c r="P199" t="str">
        <f>_xlfn.XLOOKUP(G199,[1]appointments!$B$1:$B$201,[1]appointments!$C$1:$C$201, ,0)</f>
        <v>D007</v>
      </c>
      <c r="Q199" t="str">
        <f>_xlfn.XLOOKUP(P199,[3]doctors!$A$1:$A$11,[3]doctors!$D$1:$D$11, ,0)</f>
        <v>Oncology</v>
      </c>
      <c r="R199" t="str">
        <f>_xlfn.XLOOKUP(G199,[1]appointments!$B$1:$B$201,[1]appointments!$G$1:$G$201, ,0)</f>
        <v>No-show</v>
      </c>
      <c r="S199" s="1">
        <f>_xlfn.XLOOKUP(management_table[[#This Row],[ Patient Id]],[1]appointments!$B$1:$B$201,[1]appointments!$D$1:$D$201, ,0)</f>
        <v>45242</v>
      </c>
    </row>
    <row r="200" spans="1:19" x14ac:dyDescent="0.35">
      <c r="A200" t="s">
        <v>410</v>
      </c>
      <c r="B200" t="s">
        <v>411</v>
      </c>
      <c r="C200" t="s">
        <v>8</v>
      </c>
      <c r="D200" t="s">
        <v>9</v>
      </c>
      <c r="E200">
        <v>1472.17</v>
      </c>
      <c r="F200" s="1">
        <v>45047</v>
      </c>
      <c r="G200" t="str">
        <f>_xlfn.XLOOKUP(B200,[1]appointments!$A$1:$A$201,[1]appointments!$B$1:$B$201, ,0)</f>
        <v>P017</v>
      </c>
      <c r="H200" t="str">
        <f>_xlfn.XLOOKUP(G200,[2]patients!$A$1:$A$51,[2]patients!$B$1:$B$51, ,0)</f>
        <v>Jane</v>
      </c>
      <c r="I200" t="str">
        <f>_xlfn.XLOOKUP(G200,[2]patients!$A$1:$A$51,[2]patients!$C$1:$C$51, ,0)</f>
        <v>Jones</v>
      </c>
      <c r="J200" t="str">
        <f>_xlfn.XLOOKUP(G200,[2]patients!$A$1:$A$51,[2]patients!$D$1:$D$51, ,0)</f>
        <v>M</v>
      </c>
      <c r="K200" t="str">
        <f>_xlfn.XLOOKUP(G200,[2]patients!$A$1:$A$51,[2]patients!$I$1:$I$51, ,0)</f>
        <v>WellnessCorp</v>
      </c>
      <c r="L200" t="str">
        <f>_xlfn.XLOOKUP(G200,[1]appointments!$B$1:$B$201,[1]appointments!$A$1:$A$201, ,0)</f>
        <v>A086</v>
      </c>
      <c r="M200" t="str">
        <f>_xlfn.XLOOKUP(G200,[1]appointments!$B$1:$B$201,[1]appointments!$F$1:$F$201, ,0)</f>
        <v>Consultation</v>
      </c>
      <c r="N200" t="str">
        <f>_xlfn.XLOOKUP(P200,[3]doctors!$A$1:$A$11,[3]doctors!$B$1:$B$11, ,0)</f>
        <v>Jane</v>
      </c>
      <c r="O200" t="str">
        <f>_xlfn.XLOOKUP(P200,[3]doctors!$A$1:$A$11,[3]doctors!$C$1:$C$11, ,0)</f>
        <v>Davis</v>
      </c>
      <c r="P200" t="str">
        <f>_xlfn.XLOOKUP(G200,[1]appointments!$B$1:$B$201,[1]appointments!$C$1:$C$201, ,0)</f>
        <v>D002</v>
      </c>
      <c r="Q200" t="str">
        <f>_xlfn.XLOOKUP(P200,[3]doctors!$A$1:$A$11,[3]doctors!$D$1:$D$11, ,0)</f>
        <v>Pediatrics</v>
      </c>
      <c r="R200" t="str">
        <f>_xlfn.XLOOKUP(G200,[1]appointments!$B$1:$B$201,[1]appointments!$G$1:$G$201, ,0)</f>
        <v>Cancelled</v>
      </c>
      <c r="S200" s="1">
        <f>_xlfn.XLOOKUP(management_table[[#This Row],[ Patient Id]],[1]appointments!$B$1:$B$201,[1]appointments!$D$1:$D$201, ,0)</f>
        <v>45228</v>
      </c>
    </row>
    <row r="201" spans="1:19" x14ac:dyDescent="0.35">
      <c r="A201" t="s">
        <v>412</v>
      </c>
      <c r="B201" t="s">
        <v>413</v>
      </c>
      <c r="C201" t="s">
        <v>51</v>
      </c>
      <c r="D201" t="s">
        <v>9</v>
      </c>
      <c r="E201">
        <v>3288.15</v>
      </c>
      <c r="F201" s="1">
        <v>45290</v>
      </c>
      <c r="G201" t="str">
        <f>_xlfn.XLOOKUP(B201,[1]appointments!$A$1:$A$201,[1]appointments!$B$1:$B$201, ,0)</f>
        <v>P007</v>
      </c>
      <c r="H201" t="str">
        <f>_xlfn.XLOOKUP(G201,[2]patients!$A$1:$A$51,[2]patients!$B$1:$B$51, ,0)</f>
        <v>Alex</v>
      </c>
      <c r="I201" t="str">
        <f>_xlfn.XLOOKUP(G201,[2]patients!$A$1:$A$51,[2]patients!$C$1:$C$51, ,0)</f>
        <v>Johnson</v>
      </c>
      <c r="J201" t="str">
        <f>_xlfn.XLOOKUP(G201,[2]patients!$A$1:$A$51,[2]patients!$D$1:$D$51, ,0)</f>
        <v>F</v>
      </c>
      <c r="K201" t="str">
        <f>_xlfn.XLOOKUP(G201,[2]patients!$A$1:$A$51,[2]patients!$I$1:$I$51, ,0)</f>
        <v>MedCare Plus</v>
      </c>
      <c r="L201" t="str">
        <f>_xlfn.XLOOKUP(G201,[1]appointments!$B$1:$B$201,[1]appointments!$A$1:$A$201, ,0)</f>
        <v>A095</v>
      </c>
      <c r="M201" t="str">
        <f>_xlfn.XLOOKUP(G201,[1]appointments!$B$1:$B$201,[1]appointments!$F$1:$F$201, ,0)</f>
        <v>Therapy</v>
      </c>
      <c r="N201" t="str">
        <f>_xlfn.XLOOKUP(P201,[3]doctors!$A$1:$A$11,[3]doctors!$B$1:$B$11, ,0)</f>
        <v>Sarah</v>
      </c>
      <c r="O201" t="str">
        <f>_xlfn.XLOOKUP(P201,[3]doctors!$A$1:$A$11,[3]doctors!$C$1:$C$11, ,0)</f>
        <v>Smith</v>
      </c>
      <c r="P201" t="str">
        <f>_xlfn.XLOOKUP(G201,[1]appointments!$B$1:$B$201,[1]appointments!$C$1:$C$201, ,0)</f>
        <v>D009</v>
      </c>
      <c r="Q201" t="str">
        <f>_xlfn.XLOOKUP(P201,[3]doctors!$A$1:$A$11,[3]doctors!$D$1:$D$11, ,0)</f>
        <v>Pediatrics</v>
      </c>
      <c r="R201" t="str">
        <f>_xlfn.XLOOKUP(G201,[1]appointments!$B$1:$B$201,[1]appointments!$G$1:$G$201, ,0)</f>
        <v>Cancelled</v>
      </c>
      <c r="S201" s="1">
        <f>_xlfn.XLOOKUP(management_table[[#This Row],[ Patient Id]],[1]appointments!$B$1:$B$201,[1]appointments!$D$1:$D$201, ,0)</f>
        <v>45055</v>
      </c>
    </row>
    <row r="202" spans="1:19" x14ac:dyDescent="0.35">
      <c r="P202" t="s">
        <v>421</v>
      </c>
      <c r="S202"/>
    </row>
    <row r="203" spans="1:19" x14ac:dyDescent="0.35">
      <c r="P203" t="s">
        <v>421</v>
      </c>
      <c r="S203"/>
    </row>
    <row r="204" spans="1:19" x14ac:dyDescent="0.35">
      <c r="P204" t="s">
        <v>421</v>
      </c>
      <c r="S204"/>
    </row>
    <row r="205" spans="1:19" x14ac:dyDescent="0.35">
      <c r="P205" t="s">
        <v>421</v>
      </c>
      <c r="S205"/>
    </row>
    <row r="206" spans="1:19" x14ac:dyDescent="0.35">
      <c r="P206" t="s">
        <v>421</v>
      </c>
      <c r="S206"/>
    </row>
    <row r="207" spans="1:19" x14ac:dyDescent="0.35">
      <c r="P207" t="s">
        <v>421</v>
      </c>
      <c r="S207"/>
    </row>
    <row r="208" spans="1:19" x14ac:dyDescent="0.35">
      <c r="P208" t="s">
        <v>421</v>
      </c>
      <c r="S208"/>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5"/>
  <sheetViews>
    <sheetView workbookViewId="0">
      <selection activeCell="K6" sqref="K6"/>
    </sheetView>
  </sheetViews>
  <sheetFormatPr defaultRowHeight="14.5" x14ac:dyDescent="0.35"/>
  <cols>
    <col min="1" max="1" width="12.36328125" bestFit="1" customWidth="1"/>
    <col min="2" max="2" width="22.36328125" bestFit="1" customWidth="1"/>
  </cols>
  <sheetData>
    <row r="3" spans="1:2" x14ac:dyDescent="0.35">
      <c r="A3" s="2" t="s">
        <v>429</v>
      </c>
      <c r="B3" t="s">
        <v>428</v>
      </c>
    </row>
    <row r="4" spans="1:2" x14ac:dyDescent="0.35">
      <c r="A4" s="3" t="s">
        <v>437</v>
      </c>
      <c r="B4" s="4">
        <v>2</v>
      </c>
    </row>
    <row r="5" spans="1:2" x14ac:dyDescent="0.35">
      <c r="A5" s="3" t="s">
        <v>430</v>
      </c>
      <c r="B5" s="4">
        <v>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showRowColHeaders="0" tabSelected="1" topLeftCell="A2" zoomScale="44" zoomScaleNormal="44" workbookViewId="0">
      <selection activeCell="AB27" sqref="AB27"/>
    </sheetView>
  </sheetViews>
  <sheetFormatPr defaultRowHeight="14.5" x14ac:dyDescent="0.35"/>
  <cols>
    <col min="1" max="1" width="1.6328125" customWidth="1"/>
    <col min="7" max="7" width="1.6328125" customWidth="1"/>
  </cols>
  <sheetData>
    <row r="1" customFormat="1" ht="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Sheet5</vt:lpstr>
      <vt:lpstr>Sheet1</vt:lpstr>
      <vt:lpstr>Sheet2</vt:lpstr>
      <vt:lpstr>treatments</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Sammy Kimaru</dc:creator>
  <cp:lastModifiedBy>ADMIN</cp:lastModifiedBy>
  <cp:lastPrinted>2025-08-01T16:41:09Z</cp:lastPrinted>
  <dcterms:created xsi:type="dcterms:W3CDTF">2025-08-01T04:49:34Z</dcterms:created>
  <dcterms:modified xsi:type="dcterms:W3CDTF">2025-08-01T17:00:15Z</dcterms:modified>
</cp:coreProperties>
</file>